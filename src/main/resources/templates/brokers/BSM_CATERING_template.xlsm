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4" codeName="{E5D1E7B1-6628-F0F0-D09B-76B25B5F3CD3}"/>
  <workbookPr showInkAnnotation="0" codeName="ThisWorkbook" defaultThemeVersion="124226"/>
  <mc:AlternateContent xmlns:mc="http://schemas.openxmlformats.org/markup-compatibility/2006">
    <mc:Choice Requires="x15">
      <x15ac:absPath xmlns:x15ac="http://schemas.microsoft.com/office/spreadsheetml/2010/11/ac" url="/Users/albertosanmartin/proyectos/vss/cotizadorvss-fxjava/src/main/resources/templates/brokers/"/>
    </mc:Choice>
  </mc:AlternateContent>
  <xr:revisionPtr revIDLastSave="0" documentId="13_ncr:1_{C9C3F823-DB8B-BE4D-9CFF-E43D3AD24822}" xr6:coauthVersionLast="47" xr6:coauthVersionMax="47" xr10:uidLastSave="{00000000-0000-0000-0000-000000000000}"/>
  <bookViews>
    <workbookView xWindow="0" yWindow="500" windowWidth="38400" windowHeight="19700" xr2:uid="{00000000-000D-0000-FFFF-FFFF00000000}"/>
  </bookViews>
  <sheets>
    <sheet name="Quote" sheetId="1" r:id="rId1"/>
    <sheet name="MasterData" sheetId="2" state="hidden" r:id="rId2"/>
  </sheets>
  <functionGroups builtInGroupCount="19"/>
  <definedNames>
    <definedName name="_xlnm.Print_Area" localSheetId="0">Quote!$A$1:$U$101</definedName>
    <definedName name="BCCEmailId">Quote!$N$81</definedName>
    <definedName name="BuyerRemarks">Quote!$F$83</definedName>
    <definedName name="CompanyAddress">Quote!$A$5</definedName>
    <definedName name="CompanyName">Quote!$A$4</definedName>
    <definedName name="Currency">Quote!$O$14</definedName>
    <definedName name="Days">Quote!$S$11</definedName>
    <definedName name="deliveryterm">Quote!$O$13</definedName>
    <definedName name="Discount_All">Quote!$O$15</definedName>
    <definedName name="Enquiry_ID">Quote!$A$81</definedName>
    <definedName name="Enquiry_To_Vendor_ID">Quote!$C$81</definedName>
    <definedName name="ErrorMessage">Quote!$S$81</definedName>
    <definedName name="GenPro">Quote!$U$4</definedName>
    <definedName name="GP" localSheetId="0">Quote!$T$4</definedName>
    <definedName name="GP">Quote!$T$4</definedName>
    <definedName name="GrandTotal">Quote!$P$80</definedName>
    <definedName name="HeaderID">MasterData!$N$4</definedName>
    <definedName name="ItemID">Quote!$B$19</definedName>
    <definedName name="ItemListEndRow">Quote!$A$73</definedName>
    <definedName name="ItemListStartupRow">Quote!$A$19</definedName>
    <definedName name="ItemSubTotal">Quote!$P$79</definedName>
    <definedName name="ItemSubTotalTitle">Quote!$L$79</definedName>
    <definedName name="LoggedInEmailID">Quote!$J$81</definedName>
    <definedName name="LoggedInPwd">Quote!$K$81</definedName>
    <definedName name="OtherChargesLastRow">Quote!$A$79</definedName>
    <definedName name="OtherChargesStartRow">Quote!$A$74</definedName>
    <definedName name="PackingInstruction">Quote!$F$84</definedName>
    <definedName name="Payment_Terms">Quote!$O$11</definedName>
    <definedName name="place">Quote!$O$17</definedName>
    <definedName name="PortOfDelivery">Quote!$O$9</definedName>
    <definedName name="QuoteBefore">Quote!$O$8</definedName>
    <definedName name="QuoteID">MasterData!$N$7</definedName>
    <definedName name="QuoteSubject">Quote!$E$81</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Quote!$M$81</definedName>
    <definedName name="SentIndex">Quote!$F$81</definedName>
    <definedName name="SubItemTotal">Quote!$P$71:$P$71</definedName>
    <definedName name="THREEQ" localSheetId="0">Quote!$U$4</definedName>
    <definedName name="THREEQ">Quote!$U$4</definedName>
    <definedName name="ToEmailID">Quote!$G$81</definedName>
    <definedName name="ToEmailPwd">Quote!$H$81</definedName>
    <definedName name="VAT_All">Quote!$O$16</definedName>
    <definedName name="Vendor_ID">Quote!$B$81</definedName>
    <definedName name="VendorAddress">Quote!$D$14</definedName>
    <definedName name="VendorAddressCity">Quote!$D$15</definedName>
    <definedName name="VendorAddressEmail">Quote!$D$17</definedName>
    <definedName name="VendorAddressPhone">Quote!$D$16</definedName>
    <definedName name="VendorEmailID">Quote!$D$81</definedName>
    <definedName name="VendorID">MasterData!$N$5</definedName>
    <definedName name="VendorName">Quote!$D$13</definedName>
    <definedName name="VendorReference">Quote!$O$12</definedName>
    <definedName name="VendorRemarks">Quote!$F$85</definedName>
    <definedName name="VesselETA">Quote!$O$10</definedName>
    <definedName name="VesselName">Quote!$O$4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9" i="1" l="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5" i="1"/>
  <c r="P76" i="1"/>
  <c r="P77" i="1"/>
  <c r="P78" i="1"/>
  <c r="P71" i="1" l="1"/>
  <c r="P79" i="1" s="1"/>
  <c r="P80" i="1" s="1"/>
</calcChain>
</file>

<file path=xl/sharedStrings.xml><?xml version="1.0" encoding="utf-8"?>
<sst xmlns="http://schemas.openxmlformats.org/spreadsheetml/2006/main" count="787" uniqueCount="349">
  <si>
    <t>Request for Quote</t>
  </si>
  <si>
    <t>Vessel \ Company Details</t>
  </si>
  <si>
    <t>BERNHARD SCHULTE SHIPMANAGEMENT (SINGAPORE) PTE. LTD.</t>
  </si>
  <si>
    <t>Vessel</t>
  </si>
  <si>
    <t>MSC Lome V</t>
  </si>
  <si>
    <t>BSM - CATERING SERVICES,</t>
  </si>
  <si>
    <t>RFQ No.</t>
  </si>
  <si>
    <t>EQ/SCF/CISA/0152</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</si>
  <si>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</si>
  <si>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</si>
  <si>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</si>
  <si>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</si>
  <si>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</si>
  <si>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</si>
  <si>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</si>
  <si>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San Antonio</t>
  </si>
  <si>
    <t>Email:</t>
  </si>
  <si>
    <t>seachef@seachef.com</t>
  </si>
  <si>
    <t>Vessel ETA</t>
  </si>
  <si>
    <t>Web:</t>
  </si>
  <si>
    <t>www.seachef.com /  www.bs-shipmanagement.com</t>
  </si>
  <si>
    <t>Payment Terms</t>
  </si>
  <si>
    <t>Credit</t>
  </si>
  <si>
    <t>Days</t>
  </si>
  <si>
    <t>Vendor Details</t>
  </si>
  <si>
    <t xml:space="preserve">Vendor Reference </t>
  </si>
  <si>
    <t>Name</t>
  </si>
  <si>
    <t>Valparaiso Ship Services S.A.</t>
  </si>
  <si>
    <t>Delivery Term</t>
  </si>
  <si>
    <t>Free On Board</t>
  </si>
  <si>
    <t>Address</t>
  </si>
  <si>
    <t>Calle Tercera N°820 , Placilla, Valparaiso</t>
  </si>
  <si>
    <r>
      <rPr>
        <b/>
        <sz val="10"/>
        <color theme="0" tint="-0.249977111117893"/>
        <rFont val="Calibri"/>
        <family val="2"/>
      </rPr>
      <t xml:space="preserve">Select Currency </t>
    </r>
    <r>
      <rPr>
        <b/>
        <sz val="12"/>
        <color rgb="FFFF0000"/>
        <rFont val="Calibri"/>
        <family val="2"/>
      </rPr>
      <t>*</t>
    </r>
  </si>
  <si>
    <t>USD</t>
  </si>
  <si>
    <t>City</t>
  </si>
  <si>
    <t>Discount (%) for all items</t>
  </si>
  <si>
    <t>Phone</t>
  </si>
  <si>
    <t>56 32 2298972</t>
  </si>
  <si>
    <t>VAT(%) for all items</t>
  </si>
  <si>
    <t>Email</t>
  </si>
  <si>
    <t>vss@vsschile.cl</t>
  </si>
  <si>
    <t>Place (CITY)</t>
  </si>
  <si>
    <t>No</t>
  </si>
  <si>
    <t>Product Code</t>
  </si>
  <si>
    <t>Description</t>
  </si>
  <si>
    <t>Part Number</t>
  </si>
  <si>
    <t>Brand</t>
  </si>
  <si>
    <t>Weight</t>
  </si>
  <si>
    <t>Unit</t>
  </si>
  <si>
    <t>Package</t>
  </si>
  <si>
    <t>Contract Price</t>
  </si>
  <si>
    <t>Quantity</t>
  </si>
  <si>
    <t>Discount %</t>
  </si>
  <si>
    <t>VAT %</t>
  </si>
  <si>
    <t>Total Price</t>
  </si>
  <si>
    <t>MD</t>
  </si>
  <si>
    <t>sDoC</t>
  </si>
  <si>
    <t>Vendor Remarks</t>
  </si>
  <si>
    <t>Office Remarks</t>
  </si>
  <si>
    <t>PROVISIONS</t>
  </si>
  <si>
    <t>BAK57</t>
  </si>
  <si>
    <t xml:space="preserve">YEAST DRY </t>
  </si>
  <si>
    <t>Europe</t>
  </si>
  <si>
    <t>GMS</t>
  </si>
  <si>
    <t>BEV33</t>
  </si>
  <si>
    <t xml:space="preserve">ESPRESSO COFFEE BEANS  </t>
  </si>
  <si>
    <t>KG</t>
  </si>
  <si>
    <t>ESPRESSO LAVAZA COFFEE REQUIRED</t>
  </si>
  <si>
    <t>BEV24</t>
  </si>
  <si>
    <t xml:space="preserve">ROASTED COFFEE BEAN </t>
  </si>
  <si>
    <t>Brazil/Europe</t>
  </si>
  <si>
    <t>GOLD LAVAZA COFFEE ONLY REQUIRED</t>
  </si>
  <si>
    <t>DAIR08</t>
  </si>
  <si>
    <t xml:space="preserve">CONDENSED MILK </t>
  </si>
  <si>
    <t>DAIR13</t>
  </si>
  <si>
    <t xml:space="preserve">EVAPORATED MILK </t>
  </si>
  <si>
    <t>Ml</t>
  </si>
  <si>
    <t>FAT05</t>
  </si>
  <si>
    <t xml:space="preserve">OLIVE OIL </t>
  </si>
  <si>
    <t>Greece/Spain/Italy</t>
  </si>
  <si>
    <t>Ltr</t>
  </si>
  <si>
    <t>FAT07</t>
  </si>
  <si>
    <t xml:space="preserve">SESAME OIL </t>
  </si>
  <si>
    <t>Myanmar/India/China</t>
  </si>
  <si>
    <t>FFRT23</t>
  </si>
  <si>
    <t xml:space="preserve">APPLE GREEN </t>
  </si>
  <si>
    <t>Local/Imported</t>
  </si>
  <si>
    <t>FFRT01</t>
  </si>
  <si>
    <t xml:space="preserve">APPLE RED </t>
  </si>
  <si>
    <t>FFRT02</t>
  </si>
  <si>
    <t xml:space="preserve">AVOCADO </t>
  </si>
  <si>
    <t>FFRT03</t>
  </si>
  <si>
    <t xml:space="preserve">BANANA </t>
  </si>
  <si>
    <t>FFRT04</t>
  </si>
  <si>
    <t xml:space="preserve">CANTALOUPE </t>
  </si>
  <si>
    <t>FFRT22</t>
  </si>
  <si>
    <t xml:space="preserve">CHERRY TOMATO </t>
  </si>
  <si>
    <t>FFRT30</t>
  </si>
  <si>
    <t xml:space="preserve">GRAPES RED </t>
  </si>
  <si>
    <t>FFRT07</t>
  </si>
  <si>
    <t xml:space="preserve">KIWI FRUIT </t>
  </si>
  <si>
    <t>FFRT09</t>
  </si>
  <si>
    <t xml:space="preserve">MANDARINE </t>
  </si>
  <si>
    <t>FFRT20</t>
  </si>
  <si>
    <t xml:space="preserve">MANGO </t>
  </si>
  <si>
    <t>FFRT10</t>
  </si>
  <si>
    <t xml:space="preserve">ORANGE </t>
  </si>
  <si>
    <t>FFRT13</t>
  </si>
  <si>
    <t xml:space="preserve">PINEAPPLE </t>
  </si>
  <si>
    <t>FFRT15</t>
  </si>
  <si>
    <t xml:space="preserve">STRAWBERRY </t>
  </si>
  <si>
    <t>FFRT16</t>
  </si>
  <si>
    <t xml:space="preserve">SWEET MELON </t>
  </si>
  <si>
    <t>FFRT18</t>
  </si>
  <si>
    <t xml:space="preserve">WATERMELON </t>
  </si>
  <si>
    <t>FVEG01</t>
  </si>
  <si>
    <t xml:space="preserve">ASPARAGUS  </t>
  </si>
  <si>
    <t>FVEG10</t>
  </si>
  <si>
    <t xml:space="preserve">BEET ROOT </t>
  </si>
  <si>
    <t>FVEG12</t>
  </si>
  <si>
    <t xml:space="preserve">BITTER GOURD </t>
  </si>
  <si>
    <t>FVEG13</t>
  </si>
  <si>
    <t xml:space="preserve">BOK CHOY (CHINESE CABBAGE) </t>
  </si>
  <si>
    <t>FVEG15</t>
  </si>
  <si>
    <t xml:space="preserve">BRINJAL (EGG PLANT) </t>
  </si>
  <si>
    <t>FVEG106</t>
  </si>
  <si>
    <t xml:space="preserve">BROCOLI FRESH </t>
  </si>
  <si>
    <t>FVEG18</t>
  </si>
  <si>
    <t xml:space="preserve">CABBAGE </t>
  </si>
  <si>
    <t>FVEG20</t>
  </si>
  <si>
    <t xml:space="preserve">CARROT  </t>
  </si>
  <si>
    <t>FVEG22</t>
  </si>
  <si>
    <t xml:space="preserve">CAULIFLOWER </t>
  </si>
  <si>
    <t>FVEG24</t>
  </si>
  <si>
    <t xml:space="preserve">CELERY </t>
  </si>
  <si>
    <t>FVEG25</t>
  </si>
  <si>
    <t xml:space="preserve">CHAYOTE </t>
  </si>
  <si>
    <t>FVEG33</t>
  </si>
  <si>
    <t xml:space="preserve">CUCUMBER </t>
  </si>
  <si>
    <t>FVEG36</t>
  </si>
  <si>
    <t xml:space="preserve">FRENCH BEAN </t>
  </si>
  <si>
    <t>FVEG42</t>
  </si>
  <si>
    <t xml:space="preserve">GREEN PEPPER (CAPSICUM GREEN) </t>
  </si>
  <si>
    <t>FVEG44</t>
  </si>
  <si>
    <t xml:space="preserve">HORSERADISH </t>
  </si>
  <si>
    <t>FVEG118</t>
  </si>
  <si>
    <t xml:space="preserve">LEETUCE ICEBERG </t>
  </si>
  <si>
    <t>FVEG52</t>
  </si>
  <si>
    <t xml:space="preserve">LEMON </t>
  </si>
  <si>
    <t>FVEG62</t>
  </si>
  <si>
    <t xml:space="preserve">ONION DRY </t>
  </si>
  <si>
    <t>FVEG98</t>
  </si>
  <si>
    <t xml:space="preserve">ONION DRY RED </t>
  </si>
  <si>
    <t>FVEG66</t>
  </si>
  <si>
    <t xml:space="preserve">POTATO </t>
  </si>
  <si>
    <t>FVEG67</t>
  </si>
  <si>
    <t xml:space="preserve">PUMPKIN RED </t>
  </si>
  <si>
    <t>FVEG74</t>
  </si>
  <si>
    <t xml:space="preserve">RED PEPPER (CAPSICUM RED) </t>
  </si>
  <si>
    <t>FVEG82</t>
  </si>
  <si>
    <t xml:space="preserve">SNOW PEAS (MANGETOUT) </t>
  </si>
  <si>
    <t>FVEG85</t>
  </si>
  <si>
    <t xml:space="preserve">SPRING ONION </t>
  </si>
  <si>
    <t>FVEG113</t>
  </si>
  <si>
    <t xml:space="preserve">TOMATO HALF RIPE </t>
  </si>
  <si>
    <t>FVEG105</t>
  </si>
  <si>
    <t xml:space="preserve">ZUCCHINI </t>
  </si>
  <si>
    <t>SPHB114</t>
  </si>
  <si>
    <t xml:space="preserve">DILL FRESH </t>
  </si>
  <si>
    <t>Asia/Europe</t>
  </si>
  <si>
    <t>SPHB98</t>
  </si>
  <si>
    <t xml:space="preserve">ROSEMARY LEAF </t>
  </si>
  <si>
    <t>Europe/Asia</t>
  </si>
  <si>
    <t>Item Sub Total :</t>
  </si>
  <si>
    <t>Other Charges</t>
  </si>
  <si>
    <t>Amount</t>
  </si>
  <si>
    <t>Price</t>
  </si>
  <si>
    <t>Packing cost</t>
  </si>
  <si>
    <t>Freight charge</t>
  </si>
  <si>
    <t>Grand Total :</t>
  </si>
  <si>
    <t>Buyer Remarks</t>
  </si>
  <si>
    <t xml:space="preserve">LAVAZZA GOLD BREND </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</si>
  <si>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</si>
  <si>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</si>
  <si>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</si>
  <si>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</si>
  <si>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84740745262"/>
        <rFont val="Calibri"/>
        <family val="2"/>
      </rPr>
      <t>You must quote for the</t>
    </r>
    <r>
      <rPr>
        <b/>
        <sz val="8"/>
        <color theme="3" tint="-0.499984740745262"/>
        <rFont val="Calibri"/>
        <family val="2"/>
      </rPr>
      <t xml:space="preserve"> Packaging and Brands </t>
    </r>
    <r>
      <rPr>
        <sz val="8"/>
        <color theme="3" tint="-0.499984740745262"/>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</si>
  <si>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</si>
  <si>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</si>
  <si>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</si>
  <si>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</si>
  <si>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</si>
  <si>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</si>
  <si>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</si>
  <si>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</si>
  <si>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</si>
  <si>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</si>
  <si>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</si>
  <si>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</si>
  <si>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</si>
  <si>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</si>
  <si>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</si>
  <si>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</si>
  <si>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RFQFileType</t>
  </si>
  <si>
    <t>RFQ</t>
  </si>
  <si>
    <t>ADP</t>
  </si>
  <si>
    <t>EXW</t>
  </si>
  <si>
    <t>Ex Works</t>
  </si>
  <si>
    <t>RFQ_ID</t>
  </si>
  <si>
    <t>AED</t>
  </si>
  <si>
    <t>FCA</t>
  </si>
  <si>
    <t>Free Carrier</t>
  </si>
  <si>
    <t>ADDITIONAL JOBS</t>
  </si>
  <si>
    <t>RequestForQuoteID</t>
  </si>
  <si>
    <t>AFA</t>
  </si>
  <si>
    <t>FAS</t>
  </si>
  <si>
    <t>Free Alongside Ship</t>
  </si>
  <si>
    <t>NOS</t>
  </si>
  <si>
    <t>AGENCY FEE</t>
  </si>
  <si>
    <t>HeaderID</t>
  </si>
  <si>
    <t>AUD</t>
  </si>
  <si>
    <t>FOB</t>
  </si>
  <si>
    <t>HANDLING CHARGE</t>
  </si>
  <si>
    <t>VendorID</t>
  </si>
  <si>
    <t>BAD</t>
  </si>
  <si>
    <t>CFR</t>
  </si>
  <si>
    <t>Cost and Freight</t>
  </si>
  <si>
    <t>UNIT</t>
  </si>
  <si>
    <t>PACKING CHARGE</t>
  </si>
  <si>
    <t>RFQCategory</t>
  </si>
  <si>
    <t>SEACHEF</t>
  </si>
  <si>
    <t>BAM</t>
  </si>
  <si>
    <t>CIF</t>
  </si>
  <si>
    <t>Cost, Insurance and Freight</t>
  </si>
  <si>
    <t>Perc</t>
  </si>
  <si>
    <t>SPARE USED</t>
  </si>
  <si>
    <t>QuoteID</t>
  </si>
  <si>
    <t>BBD</t>
  </si>
  <si>
    <t>CPT</t>
  </si>
  <si>
    <t>Carriage Paid To</t>
  </si>
  <si>
    <t>Mg</t>
  </si>
  <si>
    <t>WAREHOUSING</t>
  </si>
  <si>
    <t>BHD</t>
  </si>
  <si>
    <t>CIP</t>
  </si>
  <si>
    <t>Carriage and Insurance Paid to</t>
  </si>
  <si>
    <t>Ctn</t>
  </si>
  <si>
    <t>CRANAGE</t>
  </si>
  <si>
    <t>BMD</t>
  </si>
  <si>
    <t>DDP</t>
  </si>
  <si>
    <t>Delivered Duty Paid</t>
  </si>
  <si>
    <t>OZ</t>
  </si>
  <si>
    <t>CUSTOMS</t>
  </si>
  <si>
    <t>BOL</t>
  </si>
  <si>
    <t>DAP</t>
  </si>
  <si>
    <t>Delivered at Place</t>
  </si>
  <si>
    <t>PCS</t>
  </si>
  <si>
    <t>Returned Items</t>
  </si>
  <si>
    <t>BRL</t>
  </si>
  <si>
    <t>DAT</t>
  </si>
  <si>
    <t>Delivered at Terminal</t>
  </si>
  <si>
    <t>BOX</t>
  </si>
  <si>
    <t>LAUNCH HIRE CHARGE</t>
  </si>
  <si>
    <t>BSD</t>
  </si>
  <si>
    <t>BLOCK</t>
  </si>
  <si>
    <t>ROUNDING ADJUSTMENT</t>
  </si>
  <si>
    <t>CAD</t>
  </si>
  <si>
    <t>EACH</t>
  </si>
  <si>
    <t>BOAT CHARGES</t>
  </si>
  <si>
    <t>CDZ</t>
  </si>
  <si>
    <t>Ream</t>
  </si>
  <si>
    <t>MINIMUM QUANTITY CHARGE</t>
  </si>
  <si>
    <t>CHF</t>
  </si>
  <si>
    <t>TUB</t>
  </si>
  <si>
    <t>PORT SURCHARGE</t>
  </si>
  <si>
    <t>CLP</t>
  </si>
  <si>
    <t>CNY</t>
  </si>
  <si>
    <t>CYP</t>
  </si>
  <si>
    <t>CZK</t>
  </si>
  <si>
    <t>DEM</t>
  </si>
  <si>
    <t>DKK</t>
  </si>
  <si>
    <t>EGP</t>
  </si>
  <si>
    <t>CAL</t>
  </si>
  <si>
    <t>ESP</t>
  </si>
  <si>
    <t>ETB</t>
  </si>
  <si>
    <t>EUR</t>
  </si>
  <si>
    <t>Can</t>
  </si>
  <si>
    <t>FKP</t>
  </si>
  <si>
    <t>Tin</t>
  </si>
  <si>
    <t>GBP</t>
  </si>
  <si>
    <t>Btl</t>
  </si>
  <si>
    <t>GEK</t>
  </si>
  <si>
    <t>GEL</t>
  </si>
  <si>
    <t>GRD</t>
  </si>
  <si>
    <t>PC</t>
  </si>
  <si>
    <t>HKD</t>
  </si>
  <si>
    <t>LOAF</t>
  </si>
  <si>
    <t>HRK</t>
  </si>
  <si>
    <t>PKG</t>
  </si>
  <si>
    <t>IDR</t>
  </si>
  <si>
    <t>PKT</t>
  </si>
  <si>
    <t>INR</t>
  </si>
  <si>
    <t>CUP</t>
  </si>
  <si>
    <t>JPY</t>
  </si>
  <si>
    <t>KRW</t>
  </si>
  <si>
    <t>Case</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</si>
  <si>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</si>
  <si>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</si>
  <si>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</si>
  <si>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</si>
  <si>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</si>
  <si>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</si>
  <si>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</si>
  <si>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</si>
  <si>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</si>
  <si>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</si>
  <si>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</si>
  <si>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</si>
  <si>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</si>
  <si>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</si>
  <si>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</si>
  <si>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</si>
  <si>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</si>
  <si>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</si>
  <si>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</si>
  <si>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</si>
  <si>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</si>
  <si>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</si>
  <si>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</si>
  <si>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</si>
  <si>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</si>
  <si>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</si>
  <si>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</si>
  <si>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</si>
  <si>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</si>
  <si>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</si>
  <si>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</si>
  <si>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</si>
  <si>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</si>
  <si>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we offer 500grs/pkt</t>
  </si>
  <si>
    <t>not available</t>
  </si>
  <si>
    <t>we offer bean long green</t>
  </si>
  <si>
    <t>we offer white radish</t>
  </si>
  <si>
    <t>we offer green pumpkin</t>
  </si>
  <si>
    <t>we offer dry, price per pkt</t>
  </si>
  <si>
    <t>we offer lavazza coffe beans intense</t>
  </si>
  <si>
    <t>400grs/tin</t>
  </si>
  <si>
    <t>price per chinese cabbage kilo, depending on availability</t>
  </si>
  <si>
    <t>4 x 250ml/btl local</t>
  </si>
  <si>
    <t>we offer only green import, depending on availability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</si>
</sst>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409]d/mmm/yyyy;@"/>
    <numFmt numFmtId="166" formatCode="m/d/yy;@"/>
    <numFmt numFmtId="167" formatCode=";;;"/>
    <numFmt numFmtId="168" formatCode="#,##0.000"/>
    <numFmt numFmtId="169" formatCode="0.000"/>
    <numFmt numFmtId="170" formatCode="[$-409]d\-mmm\-yyyy;@"/>
    <numFmt numFmtId="171" formatCode="[$-409]d\-mmm\-yy;@"/>
    <numFmt numFmtId="172" formatCode="#,##0.0000"/>
  </numFmts>
  <fonts count="29" x14ac:knownFonts="1">
    <font>
      <sz val="11"/>
      <color theme="1"/>
      <name val="Calibri"/>
      <family val="2"/>
      <scheme val="minor"/>
    </font>
    <font>
      <b/>
      <sz val="15"/>
      <color theme="3"/>
      <name val="Calibri"/>
      <family val="2"/>
      <scheme val="minor"/>
    </font>
    <font>
      <b/>
      <sz val="11"/>
      <color theme="3"/>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theme="0" tint="-0.14999847407452621"/>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84740745262"/>
      <name val="Calibri"/>
      <family val="2"/>
      <scheme val="minor"/>
    </font>
    <font>
      <sz val="8"/>
      <color theme="3" tint="-0.499984740745262"/>
      <name val="Calibri"/>
      <family val="2"/>
      <scheme val="minor"/>
    </font>
    <font>
      <sz val="11"/>
      <color theme="3" tint="-0.499984740745262"/>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84740745262"/>
      <name val="Calibri"/>
      <family val="2"/>
      <scheme val="minor"/>
    </font>
    <font>
      <sz val="9"/>
      <name val="Calibri"/>
      <family val="2"/>
      <scheme val="minor"/>
    </font>
    <font>
      <b/>
      <sz val="10"/>
      <color theme="0" tint="-0.249977111117893"/>
      <name val="Calibri"/>
      <family val="2"/>
      <scheme val="minor"/>
    </font>
    <font>
      <b/>
      <sz val="11"/>
      <color theme="1" tint="0.34998626667073579"/>
      <name val="Calibri"/>
      <family val="2"/>
      <scheme val="minor"/>
    </font>
    <font>
      <sz val="11"/>
      <color theme="1" tint="0.34998626667073579"/>
      <name val="Calibri"/>
      <family val="2"/>
      <scheme val="minor"/>
    </font>
    <font>
      <sz val="10"/>
      <color rgb="FF4B7279"/>
      <name val="Calibri"/>
      <family val="2"/>
      <scheme val="minor"/>
    </font>
    <font>
      <sz val="10"/>
      <color indexed="61"/>
      <name val="Calibri"/>
      <family val="2"/>
      <scheme val="minor"/>
    </font>
    <font>
      <u/>
      <sz val="11"/>
      <color theme="10"/>
      <name val="Calibri"/>
      <family val="2"/>
      <scheme val="minor"/>
    </font>
    <font>
      <b/>
      <sz val="10"/>
      <color theme="0" tint="-0.249977111117893"/>
      <name val="Calibri"/>
      <family val="2"/>
    </font>
    <font>
      <b/>
      <sz val="12"/>
      <color rgb="FFFF0000"/>
      <name val="Calibri"/>
      <family val="2"/>
    </font>
    <font>
      <sz val="8"/>
      <color theme="3" tint="-0.499984740745262"/>
      <name val="Calibri"/>
      <family val="2"/>
    </font>
    <font>
      <b/>
      <sz val="8"/>
      <color theme="3" tint="-0.499984740745262"/>
      <name val="Calibri"/>
      <family val="2"/>
    </font>
  </fonts>
  <fills count="10">
    <fill>
      <patternFill patternType="none"/>
    </fill>
    <fill>
      <patternFill patternType="gray125"/>
    </fill>
    <fill>
      <patternFill patternType="solid">
        <fgColor theme="4" tint="0.59999389629810485"/>
        <bgColor indexed="65"/>
      </patternFill>
    </fill>
    <fill>
      <patternFill patternType="solid">
        <fgColor indexed="9"/>
        <bgColor indexed="64"/>
      </patternFill>
    </fill>
    <fill>
      <patternFill patternType="solid">
        <fgColor theme="0" tint="-0.14999847407452621"/>
        <bgColor indexed="64"/>
      </patternFill>
    </fill>
    <fill>
      <patternFill patternType="solid">
        <fgColor rgb="FF9DBEC3"/>
        <bgColor indexed="64"/>
      </patternFill>
    </fill>
    <fill>
      <patternFill patternType="solid">
        <fgColor rgb="FFEDF3F3"/>
        <bgColor indexed="64"/>
      </patternFill>
    </fill>
    <fill>
      <patternFill patternType="solid">
        <fgColor theme="4" tint="0.59996337778862885"/>
        <bgColor indexed="64"/>
      </patternFill>
    </fill>
    <fill>
      <patternFill patternType="solid">
        <fgColor rgb="FFD6DCE0"/>
        <bgColor indexed="64"/>
      </patternFill>
    </fill>
    <fill>
      <patternFill patternType="solid">
        <fgColor rgb="FFFFFF00"/>
      </patternFill>
    </fill>
  </fills>
  <borders count="33">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medium">
        <color theme="4" tint="0.39997558519241921"/>
      </top>
      <bottom/>
      <diagonal/>
    </border>
    <border>
      <left/>
      <right/>
      <top style="medium">
        <color theme="4" tint="0.39997558519241921"/>
      </top>
      <bottom style="medium">
        <color theme="4" tint="0.39997558519241921"/>
      </bottom>
      <diagonal/>
    </border>
    <border>
      <left style="thin">
        <color rgb="FF7F7F7F"/>
      </left>
      <right style="thin">
        <color rgb="FF7F7F7F"/>
      </right>
      <top style="medium">
        <color theme="4" tint="0.39997558519241921"/>
      </top>
      <bottom style="medium">
        <color theme="4" tint="0.39997558519241921"/>
      </bottom>
      <diagonal/>
    </border>
    <border>
      <left style="thin">
        <color indexed="44"/>
      </left>
      <right/>
      <top/>
      <bottom/>
      <diagonal/>
    </border>
    <border>
      <left style="thin">
        <color rgb="FFD6DCE0"/>
      </left>
      <right style="thin">
        <color rgb="FFD6DCE0"/>
      </right>
      <top style="thin">
        <color rgb="FFD6DCE0"/>
      </top>
      <bottom style="thin">
        <color rgb="FFD6DCE0"/>
      </bottom>
      <diagonal/>
    </border>
    <border>
      <left style="thin">
        <color rgb="FFD6DCE0"/>
      </left>
      <right style="thin">
        <color rgb="FFD6DCE0"/>
      </right>
      <top style="thin">
        <color rgb="FFD6DCE0"/>
      </top>
      <bottom/>
      <diagonal/>
    </border>
    <border>
      <left style="thin">
        <color theme="0" tint="-0.14996795556505021"/>
      </left>
      <right style="thin">
        <color theme="0" tint="-0.14996795556505021"/>
      </right>
      <top style="thin">
        <color theme="0" tint="-0.34998626667073579"/>
      </top>
      <bottom style="thin">
        <color theme="0" tint="-0.34998626667073579"/>
      </bottom>
      <diagonal/>
    </border>
    <border>
      <left style="thin">
        <color theme="0" tint="-0.14996795556505021"/>
      </left>
      <right style="thin">
        <color theme="0" tint="-0.34998626667073579"/>
      </right>
      <top style="thin">
        <color theme="0" tint="-0.34998626667073579"/>
      </top>
      <bottom style="thin">
        <color theme="0" tint="-0.34998626667073579"/>
      </bottom>
      <diagonal/>
    </border>
    <border>
      <left/>
      <right/>
      <top style="thin">
        <color rgb="FFD6DCE0"/>
      </top>
      <bottom/>
      <diagonal/>
    </border>
    <border>
      <left style="thin">
        <color rgb="FFD6DCE0"/>
      </left>
      <right/>
      <top style="thin">
        <color rgb="FFD6DCE0"/>
      </top>
      <bottom style="thin">
        <color rgb="FFD6DCE0"/>
      </bottom>
      <diagonal/>
    </border>
    <border>
      <left/>
      <right style="thin">
        <color rgb="FFD6DCE0"/>
      </right>
      <top style="thin">
        <color rgb="FFD6DCE0"/>
      </top>
      <bottom style="thin">
        <color rgb="FFD6DCE0"/>
      </bottom>
      <diagonal/>
    </border>
    <border>
      <left style="thin">
        <color rgb="FFD6DCE0"/>
      </left>
      <right style="thin">
        <color rgb="FFD6DCE0"/>
      </right>
      <top/>
      <bottom style="thin">
        <color rgb="FFD6DCE0"/>
      </bottom>
      <diagonal/>
    </border>
    <border>
      <left/>
      <right/>
      <top style="thin">
        <color theme="0" tint="-0.34998626667073579"/>
      </top>
      <bottom style="thin">
        <color theme="0" tint="-0.34998626667073579"/>
      </bottom>
      <diagonal/>
    </border>
    <border>
      <left/>
      <right style="thin">
        <color rgb="FFD6DCE0"/>
      </right>
      <top/>
      <bottom/>
      <diagonal/>
    </border>
    <border>
      <left/>
      <right style="thin">
        <color theme="0" tint="-0.34998626667073579"/>
      </right>
      <top style="thin">
        <color theme="0" tint="-0.34998626667073579"/>
      </top>
      <bottom/>
      <diagonal/>
    </border>
    <border>
      <left/>
      <right style="thin">
        <color theme="0" tint="-0.14996795556505021"/>
      </right>
      <top style="thin">
        <color theme="0" tint="-0.34998626667073579"/>
      </top>
      <bottom style="thin">
        <color theme="0" tint="-0.34998626667073579"/>
      </bottom>
      <diagonal/>
    </border>
    <border>
      <left style="thin">
        <color indexed="64"/>
      </left>
      <right/>
      <top/>
      <bottom/>
      <diagonal/>
    </border>
    <border>
      <left/>
      <right/>
      <top/>
      <bottom style="medium">
        <color theme="4" tint="0.39994506668294322"/>
      </bottom>
      <diagonal/>
    </border>
    <border>
      <left/>
      <right/>
      <top/>
      <bottom style="thick">
        <color rgb="FF000000"/>
      </bottom>
      <diagonal/>
    </border>
    <border>
      <left/>
      <right/>
      <top/>
      <bottom style="medium">
        <color rgb="FF000000"/>
      </bottom>
      <diagonal/>
    </border>
    <border>
      <left/>
      <right/>
      <top style="medium">
        <color rgb="FF000000"/>
      </top>
      <bottom/>
      <diagonal/>
    </border>
    <border>
      <left/>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s>
  <cellStyleXfs count="3">
    <xf numFmtId="0" fontId="0" fillId="0" borderId="0"/>
    <xf numFmtId="0" fontId="2" fillId="0" borderId="1" applyNumberFormat="0" applyFill="0" applyAlignment="0" applyProtection="0"/>
    <xf numFmtId="0" fontId="2" fillId="0" borderId="0" applyNumberFormat="0" applyFill="0" applyBorder="0" applyAlignment="0" applyProtection="0"/>
  </cellStyleXfs>
  <cellXfs count="156">
    <xf numFmtId="0" fontId="0" fillId="0" borderId="0" xfId="0"/>
    <xf numFmtId="166" fontId="11" fillId="5" borderId="0" xfId="0" applyNumberFormat="1" applyFont="1" applyFill="1" applyAlignment="1">
      <alignment horizontal="left" wrapText="1"/>
    </xf>
    <xf numFmtId="49" fontId="13" fillId="2" borderId="28" xfId="0" applyNumberFormat="1" applyFont="1" applyFill="1" applyBorder="1" applyAlignment="1" applyProtection="1">
      <alignment vertical="center" wrapText="1"/>
      <protection locked="0"/>
    </xf>
    <xf numFmtId="49" fontId="13" fillId="2" borderId="30" xfId="0" applyNumberFormat="1" applyFont="1" applyFill="1" applyBorder="1" applyAlignment="1" applyProtection="1">
      <alignment vertical="center" wrapText="1"/>
      <protection locked="0"/>
    </xf>
    <xf numFmtId="0" fontId="11" fillId="5" borderId="0" xfId="0" applyFont="1" applyFill="1" applyAlignment="1">
      <alignment horizontal="left" wrapText="1"/>
    </xf>
    <xf numFmtId="0" fontId="4" fillId="0" borderId="0" xfId="0" applyFont="1"/>
    <xf numFmtId="166" fontId="11" fillId="5" borderId="6" xfId="0" applyNumberFormat="1" applyFont="1" applyFill="1" applyBorder="1" applyAlignment="1">
      <alignment horizontal="left" wrapText="1"/>
    </xf>
    <xf numFmtId="0" fontId="11" fillId="5" borderId="0" xfId="0" applyFont="1" applyFill="1" applyAlignment="1">
      <alignment wrapText="1"/>
    </xf>
    <xf numFmtId="1" fontId="9" fillId="0" borderId="8" xfId="0" applyNumberFormat="1" applyFont="1" applyBorder="1" applyAlignment="1">
      <alignment horizontal="right" vertical="center"/>
    </xf>
    <xf numFmtId="49" fontId="12" fillId="6" borderId="7" xfId="0" applyNumberFormat="1" applyFont="1" applyFill="1" applyBorder="1" applyAlignment="1">
      <alignment horizontal="right" vertical="center"/>
    </xf>
    <xf numFmtId="164" fontId="16" fillId="3" borderId="0" xfId="0" applyNumberFormat="1" applyFont="1" applyFill="1"/>
    <xf numFmtId="1" fontId="12" fillId="6" borderId="0" xfId="0" applyNumberFormat="1" applyFont="1" applyFill="1" applyAlignment="1">
      <alignment vertical="center" wrapText="1"/>
    </xf>
    <xf numFmtId="0" fontId="3" fillId="0" borderId="0" xfId="0" applyFont="1" applyAlignment="1">
      <alignment horizontal="left" indent="1"/>
    </xf>
    <xf numFmtId="0" fontId="5" fillId="0" borderId="0" xfId="0" applyFont="1"/>
    <xf numFmtId="0" fontId="8" fillId="0" borderId="0" xfId="0" applyFont="1"/>
    <xf numFmtId="0" fontId="9" fillId="0" borderId="0" xfId="0" applyFont="1" applyAlignment="1">
      <alignment vertical="top"/>
    </xf>
    <xf numFmtId="165" fontId="7" fillId="0" borderId="4" xfId="1" applyNumberFormat="1" applyFont="1" applyFill="1" applyBorder="1" applyAlignment="1" applyProtection="1"/>
    <xf numFmtId="0" fontId="9" fillId="0" borderId="0" xfId="0" applyFont="1"/>
    <xf numFmtId="0" fontId="9" fillId="0" borderId="0" xfId="0" applyFont="1" applyAlignment="1">
      <alignment horizontal="left"/>
    </xf>
    <xf numFmtId="165" fontId="10" fillId="0" borderId="0" xfId="0" applyNumberFormat="1" applyFont="1"/>
    <xf numFmtId="165" fontId="10" fillId="0" borderId="0" xfId="0" applyNumberFormat="1" applyFont="1" applyAlignment="1">
      <alignment horizontal="left"/>
    </xf>
    <xf numFmtId="1" fontId="9" fillId="0" borderId="0" xfId="0" applyNumberFormat="1" applyFont="1" applyAlignment="1">
      <alignment horizontal="right" vertical="center"/>
    </xf>
    <xf numFmtId="0" fontId="8" fillId="0" borderId="0" xfId="0" applyFont="1" applyAlignment="1">
      <alignment horizontal="left"/>
    </xf>
    <xf numFmtId="0" fontId="9" fillId="0" borderId="0" xfId="0" applyFont="1" applyAlignment="1">
      <alignment horizontal="right"/>
    </xf>
    <xf numFmtId="0" fontId="15" fillId="0" borderId="0" xfId="0" applyFont="1"/>
    <xf numFmtId="164" fontId="16" fillId="0" borderId="0" xfId="0" applyNumberFormat="1" applyFont="1"/>
    <xf numFmtId="49" fontId="16" fillId="0" borderId="0" xfId="0" applyNumberFormat="1" applyFont="1"/>
    <xf numFmtId="0" fontId="9" fillId="0" borderId="11" xfId="0" applyFont="1" applyBorder="1" applyAlignment="1">
      <alignment vertical="center"/>
    </xf>
    <xf numFmtId="0" fontId="8" fillId="0" borderId="16" xfId="0" applyFont="1" applyBorder="1"/>
    <xf numFmtId="0" fontId="8" fillId="0" borderId="17" xfId="0" applyFont="1" applyBorder="1"/>
    <xf numFmtId="164" fontId="18" fillId="0" borderId="0" xfId="0" applyNumberFormat="1" applyFont="1"/>
    <xf numFmtId="1" fontId="18" fillId="0" borderId="0" xfId="0" applyNumberFormat="1" applyFont="1"/>
    <xf numFmtId="3" fontId="18" fillId="0" borderId="0" xfId="0" applyNumberFormat="1" applyFont="1"/>
    <xf numFmtId="1" fontId="8" fillId="0" borderId="0" xfId="0" applyNumberFormat="1" applyFont="1"/>
    <xf numFmtId="164" fontId="18" fillId="3" borderId="0" xfId="0" applyNumberFormat="1" applyFont="1" applyFill="1"/>
    <xf numFmtId="164" fontId="18" fillId="3" borderId="0" xfId="0" applyNumberFormat="1" applyFont="1" applyFill="1" applyAlignment="1">
      <alignment wrapText="1"/>
    </xf>
    <xf numFmtId="169" fontId="12" fillId="6" borderId="14" xfId="0" applyNumberFormat="1" applyFont="1" applyFill="1" applyBorder="1" applyAlignment="1">
      <alignment horizontal="left" vertical="center"/>
    </xf>
    <xf numFmtId="169" fontId="12" fillId="6" borderId="7" xfId="0" applyNumberFormat="1" applyFont="1" applyFill="1" applyBorder="1" applyAlignment="1">
      <alignment horizontal="left" vertical="center"/>
    </xf>
    <xf numFmtId="1" fontId="12" fillId="0" borderId="7" xfId="0" applyNumberFormat="1" applyFont="1" applyBorder="1" applyAlignment="1">
      <alignment horizontal="right" vertical="center"/>
    </xf>
    <xf numFmtId="49" fontId="12" fillId="0" borderId="7" xfId="0" applyNumberFormat="1" applyFont="1" applyBorder="1" applyAlignment="1">
      <alignment horizontal="left" vertical="center"/>
    </xf>
    <xf numFmtId="49" fontId="12" fillId="0" borderId="7" xfId="0" applyNumberFormat="1" applyFont="1" applyBorder="1" applyAlignment="1">
      <alignment vertical="center" wrapText="1"/>
    </xf>
    <xf numFmtId="49" fontId="12" fillId="0" borderId="7" xfId="0" applyNumberFormat="1" applyFont="1" applyBorder="1" applyAlignment="1">
      <alignment vertical="center"/>
    </xf>
    <xf numFmtId="49" fontId="12" fillId="0" borderId="7" xfId="0" applyNumberFormat="1" applyFont="1" applyBorder="1" applyAlignment="1" applyProtection="1">
      <alignment horizontal="left" vertical="center"/>
      <protection locked="0"/>
    </xf>
    <xf numFmtId="2" fontId="12" fillId="0" borderId="7" xfId="0" applyNumberFormat="1" applyFont="1" applyBorder="1" applyAlignment="1">
      <alignment horizontal="right" vertical="center"/>
    </xf>
    <xf numFmtId="0" fontId="0" fillId="0" borderId="19" xfId="0" applyBorder="1"/>
    <xf numFmtId="49" fontId="0" fillId="0" borderId="0" xfId="0" applyNumberFormat="1"/>
    <xf numFmtId="0" fontId="2" fillId="0" borderId="3" xfId="2" applyFill="1" applyBorder="1" applyAlignment="1" applyProtection="1">
      <alignment vertical="top" wrapText="1"/>
    </xf>
    <xf numFmtId="0" fontId="23" fillId="0" borderId="0" xfId="0" applyFont="1" applyAlignment="1">
      <alignment wrapText="1"/>
    </xf>
    <xf numFmtId="0" fontId="23" fillId="0" borderId="0" xfId="0" applyFont="1" applyAlignment="1">
      <alignment horizontal="left" wrapText="1"/>
    </xf>
    <xf numFmtId="0" fontId="22" fillId="0" borderId="0" xfId="0" applyFont="1" applyAlignment="1">
      <alignment wrapText="1"/>
    </xf>
    <xf numFmtId="0" fontId="22" fillId="0" borderId="20" xfId="0" applyFont="1" applyBorder="1" applyAlignment="1">
      <alignment wrapText="1"/>
    </xf>
    <xf numFmtId="49" fontId="12" fillId="0" borderId="7" xfId="0" applyNumberFormat="1" applyFont="1" applyBorder="1" applyAlignment="1">
      <alignment horizontal="right"/>
    </xf>
    <xf numFmtId="172" fontId="12" fillId="6" borderId="7" xfId="0" applyNumberFormat="1" applyFont="1" applyFill="1" applyBorder="1" applyAlignment="1">
      <alignment horizontal="right"/>
    </xf>
    <xf numFmtId="169" fontId="12" fillId="6" borderId="0" xfId="0" applyNumberFormat="1" applyFont="1" applyFill="1" applyAlignment="1">
      <alignment horizontal="left" vertical="center"/>
    </xf>
    <xf numFmtId="0" fontId="7" fillId="0" borderId="1" xfId="0" applyFont="1" applyBorder="1" applyAlignment="1">
      <alignment horizontal="left"/>
    </xf>
    <xf numFmtId="0" fontId="2" fillId="0" borderId="0" xfId="0" applyFont="1" applyAlignment="1">
      <alignment vertical="top" wrapText="1"/>
    </xf>
    <xf numFmtId="171" fontId="7" fillId="0" borderId="1" xfId="0" applyNumberFormat="1" applyFont="1" applyBorder="1" applyAlignment="1">
      <alignment horizontal="left"/>
    </xf>
    <xf numFmtId="0" fontId="7" fillId="0" borderId="1" xfId="0" applyFont="1" applyBorder="1" applyAlignment="1">
      <alignment vertical="top"/>
    </xf>
    <xf numFmtId="0" fontId="7" fillId="0" borderId="1" xfId="0" applyFont="1" applyBorder="1"/>
    <xf numFmtId="0" fontId="19" fillId="0" borderId="1" xfId="0" applyFont="1" applyBorder="1"/>
    <xf numFmtId="170" fontId="7" fillId="0" borderId="1" xfId="0" applyNumberFormat="1" applyFont="1" applyBorder="1" applyAlignment="1">
      <alignment horizontal="left"/>
    </xf>
    <xf numFmtId="0" fontId="20" fillId="4" borderId="2" xfId="0" applyFont="1" applyFill="1" applyBorder="1" applyAlignment="1" applyProtection="1">
      <alignment horizontal="left"/>
      <protection locked="0"/>
    </xf>
    <xf numFmtId="0" fontId="7" fillId="0" borderId="1" xfId="0" applyFont="1" applyBorder="1" applyAlignment="1">
      <alignment horizontal="right"/>
    </xf>
    <xf numFmtId="4" fontId="20" fillId="4" borderId="5" xfId="0" applyNumberFormat="1" applyFont="1" applyFill="1" applyBorder="1" applyAlignment="1" applyProtection="1">
      <alignment horizontal="right"/>
      <protection locked="0"/>
    </xf>
    <xf numFmtId="0" fontId="2" fillId="0" borderId="1" xfId="0" applyFont="1" applyBorder="1" applyAlignment="1">
      <alignment horizontal="left"/>
    </xf>
    <xf numFmtId="49" fontId="7" fillId="0" borderId="1" xfId="0" applyNumberFormat="1" applyFont="1" applyBorder="1" applyAlignment="1" applyProtection="1">
      <alignment horizontal="left"/>
      <protection locked="0"/>
    </xf>
    <xf numFmtId="0" fontId="21" fillId="4" borderId="2" xfId="0" applyFont="1" applyFill="1" applyBorder="1" applyAlignment="1" applyProtection="1">
      <alignment horizontal="right"/>
      <protection locked="0"/>
    </xf>
    <xf numFmtId="167" fontId="7" fillId="0" borderId="1" xfId="0" applyNumberFormat="1" applyFont="1" applyBorder="1"/>
    <xf numFmtId="168" fontId="21" fillId="4" borderId="2" xfId="0" applyNumberFormat="1" applyFont="1" applyFill="1" applyBorder="1" applyAlignment="1" applyProtection="1">
      <alignment horizontal="right"/>
      <protection locked="0"/>
    </xf>
    <xf numFmtId="165" fontId="7" fillId="0" borderId="1" xfId="0" applyNumberFormat="1" applyFont="1" applyBorder="1"/>
    <xf numFmtId="1" fontId="12" fillId="9" borderId="7" xfId="0" applyNumberFormat="1" applyFont="1" applyFill="1" applyBorder="1" applyAlignment="1">
      <alignment horizontal="right" vertical="center"/>
    </xf>
    <xf numFmtId="49" fontId="12" fillId="9" borderId="7" xfId="0" applyNumberFormat="1" applyFont="1" applyFill="1" applyBorder="1" applyAlignment="1">
      <alignment horizontal="left" vertical="center"/>
    </xf>
    <xf numFmtId="49" fontId="12" fillId="9" borderId="7" xfId="0" applyNumberFormat="1" applyFont="1" applyFill="1" applyBorder="1" applyAlignment="1">
      <alignment vertical="center" wrapText="1"/>
    </xf>
    <xf numFmtId="49" fontId="12" fillId="9" borderId="7" xfId="0" applyNumberFormat="1" applyFont="1" applyFill="1" applyBorder="1" applyAlignment="1">
      <alignment vertical="center"/>
    </xf>
    <xf numFmtId="2" fontId="12" fillId="9" borderId="7" xfId="0" applyNumberFormat="1" applyFont="1" applyFill="1" applyBorder="1" applyAlignment="1">
      <alignment horizontal="right" vertical="center"/>
    </xf>
    <xf numFmtId="49" fontId="12" fillId="9" borderId="7" xfId="0" applyNumberFormat="1" applyFont="1" applyFill="1" applyBorder="1" applyAlignment="1">
      <alignment horizontal="right"/>
    </xf>
    <xf numFmtId="49" fontId="12" fillId="9" borderId="12" xfId="0" applyNumberFormat="1" applyFont="1" applyFill="1" applyBorder="1" applyAlignment="1">
      <alignment horizontal="right"/>
    </xf>
    <xf numFmtId="4" fontId="12" fillId="9" borderId="12" xfId="0" applyNumberFormat="1" applyFont="1" applyFill="1" applyBorder="1" applyAlignment="1">
      <alignment horizontal="right"/>
    </xf>
    <xf numFmtId="172" fontId="12" fillId="9" borderId="13" xfId="0" applyNumberFormat="1" applyFont="1" applyFill="1" applyBorder="1" applyAlignment="1">
      <alignment horizontal="right"/>
    </xf>
    <xf numFmtId="172" fontId="12" fillId="9" borderId="7" xfId="0" applyNumberFormat="1" applyFont="1" applyFill="1" applyBorder="1" applyAlignment="1">
      <alignment horizontal="right"/>
    </xf>
    <xf numFmtId="0" fontId="21" fillId="9" borderId="9" xfId="0" applyFont="1" applyFill="1" applyBorder="1" applyAlignment="1">
      <alignment horizontal="right"/>
    </xf>
    <xf numFmtId="0" fontId="21" fillId="9" borderId="15" xfId="0" applyFont="1" applyFill="1" applyBorder="1" applyAlignment="1">
      <alignment horizontal="right"/>
    </xf>
    <xf numFmtId="4" fontId="12" fillId="2" borderId="12" xfId="0" applyNumberFormat="1" applyFont="1" applyFill="1" applyBorder="1" applyAlignment="1" applyProtection="1">
      <alignment horizontal="right"/>
      <protection locked="0"/>
    </xf>
    <xf numFmtId="172" fontId="12" fillId="2" borderId="13" xfId="0" applyNumberFormat="1" applyFont="1" applyFill="1" applyBorder="1" applyAlignment="1" applyProtection="1">
      <alignment horizontal="right"/>
      <protection locked="0"/>
    </xf>
    <xf numFmtId="4" fontId="12" fillId="2" borderId="7" xfId="0" applyNumberFormat="1" applyFont="1" applyFill="1" applyBorder="1" applyAlignment="1" applyProtection="1">
      <alignment horizontal="right"/>
      <protection locked="0"/>
    </xf>
    <xf numFmtId="0" fontId="21" fillId="7" borderId="9" xfId="0" applyFont="1" applyFill="1" applyBorder="1" applyAlignment="1" applyProtection="1">
      <alignment horizontal="right"/>
      <protection locked="0"/>
    </xf>
    <xf numFmtId="0" fontId="21" fillId="7" borderId="15" xfId="0" applyFont="1" applyFill="1" applyBorder="1" applyAlignment="1" applyProtection="1">
      <alignment horizontal="right"/>
      <protection locked="0"/>
    </xf>
    <xf numFmtId="172" fontId="12" fillId="6" borderId="7" xfId="0" applyNumberFormat="1" applyFont="1" applyFill="1" applyBorder="1" applyAlignment="1" applyProtection="1">
      <alignment horizontal="right"/>
      <protection locked="0"/>
    </xf>
    <xf numFmtId="49" fontId="12" fillId="2" borderId="12" xfId="0" applyNumberFormat="1" applyFont="1" applyFill="1" applyBorder="1" applyAlignment="1">
      <alignment horizontal="right"/>
    </xf>
    <xf numFmtId="4" fontId="12" fillId="2" borderId="12" xfId="0" applyNumberFormat="1" applyFont="1" applyFill="1" applyBorder="1" applyAlignment="1">
      <alignment horizontal="right"/>
    </xf>
    <xf numFmtId="172" fontId="12" fillId="2" borderId="13" xfId="0" applyNumberFormat="1" applyFont="1" applyFill="1" applyBorder="1" applyAlignment="1">
      <alignment horizontal="right"/>
    </xf>
    <xf numFmtId="49" fontId="12" fillId="2" borderId="7" xfId="0" applyNumberFormat="1" applyFont="1" applyFill="1" applyBorder="1" applyAlignment="1">
      <alignment horizontal="right"/>
    </xf>
    <xf numFmtId="0" fontId="21" fillId="7" borderId="9" xfId="0" applyFont="1" applyFill="1" applyBorder="1" applyAlignment="1">
      <alignment horizontal="right"/>
    </xf>
    <xf numFmtId="0" fontId="21" fillId="7" borderId="15" xfId="0" applyFont="1" applyFill="1" applyBorder="1" applyAlignment="1">
      <alignment horizontal="right"/>
    </xf>
    <xf numFmtId="49" fontId="13" fillId="2" borderId="28" xfId="0" applyNumberFormat="1" applyFont="1" applyFill="1" applyBorder="1" applyAlignment="1">
      <alignment vertical="center" wrapText="1"/>
    </xf>
    <xf numFmtId="49" fontId="12" fillId="2" borderId="7" xfId="0" applyNumberFormat="1" applyFont="1" applyFill="1" applyBorder="1" applyAlignment="1" applyProtection="1">
      <alignment horizontal="right"/>
      <protection locked="0"/>
    </xf>
    <xf numFmtId="0" fontId="21" fillId="7" borderId="9" xfId="0" applyFont="1" applyFill="1" applyBorder="1" applyAlignment="1" applyProtection="1">
      <alignment horizontal="left"/>
      <protection locked="0"/>
    </xf>
    <xf numFmtId="172" fontId="21" fillId="7" borderId="9" xfId="0" applyNumberFormat="1" applyFont="1" applyFill="1" applyBorder="1" applyAlignment="1" applyProtection="1">
      <alignment horizontal="right"/>
      <protection locked="0"/>
    </xf>
    <xf numFmtId="4" fontId="21" fillId="7" borderId="9" xfId="0" applyNumberFormat="1" applyFont="1" applyFill="1" applyBorder="1" applyAlignment="1" applyProtection="1">
      <alignment horizontal="right"/>
      <protection locked="0"/>
    </xf>
    <xf numFmtId="4" fontId="21" fillId="7" borderId="10" xfId="0" applyNumberFormat="1" applyFont="1" applyFill="1" applyBorder="1" applyAlignment="1" applyProtection="1">
      <alignment horizontal="right"/>
      <protection locked="0"/>
    </xf>
    <xf numFmtId="49" fontId="13" fillId="2" borderId="15" xfId="0" applyNumberFormat="1" applyFont="1" applyFill="1" applyBorder="1" applyAlignment="1" applyProtection="1">
      <alignment vertical="center" wrapText="1"/>
      <protection locked="0"/>
    </xf>
    <xf numFmtId="0" fontId="14" fillId="7" borderId="18" xfId="0" applyFont="1" applyFill="1" applyBorder="1" applyAlignment="1" applyProtection="1">
      <alignment horizontal="left" vertical="top"/>
      <protection locked="0"/>
    </xf>
    <xf numFmtId="0" fontId="11" fillId="5" borderId="0" xfId="0" applyFont="1" applyFill="1" applyAlignment="1">
      <alignment horizontal="left" wrapText="1"/>
    </xf>
    <xf numFmtId="0" fontId="1" fillId="0" borderId="21" xfId="0" applyFont="1" applyBorder="1" applyAlignment="1">
      <alignment horizontal="left"/>
    </xf>
    <xf numFmtId="49" fontId="2" fillId="0" borderId="22" xfId="0" applyNumberFormat="1" applyFont="1" applyBorder="1" applyAlignment="1">
      <alignment horizontal="left" wrapText="1"/>
    </xf>
    <xf numFmtId="0" fontId="19" fillId="0" borderId="22" xfId="0" applyFont="1" applyBorder="1" applyAlignment="1">
      <alignment horizontal="left"/>
    </xf>
    <xf numFmtId="0" fontId="19" fillId="0" borderId="24" xfId="0" applyFont="1" applyBorder="1" applyAlignment="1">
      <alignment horizontal="left"/>
    </xf>
    <xf numFmtId="170" fontId="7" fillId="0" borderId="22" xfId="0" applyNumberFormat="1" applyFont="1" applyBorder="1" applyAlignment="1">
      <alignment horizontal="left"/>
    </xf>
    <xf numFmtId="171" fontId="7" fillId="0" borderId="22" xfId="0" applyNumberFormat="1" applyFont="1" applyBorder="1" applyAlignment="1">
      <alignment horizontal="left"/>
    </xf>
    <xf numFmtId="0" fontId="2" fillId="0" borderId="23" xfId="0" applyFont="1" applyBorder="1" applyAlignment="1">
      <alignment horizontal="left" wrapText="1"/>
    </xf>
    <xf numFmtId="0" fontId="2" fillId="0" borderId="22" xfId="0" applyFont="1" applyBorder="1" applyAlignment="1">
      <alignment horizontal="left" wrapText="1"/>
    </xf>
    <xf numFmtId="0" fontId="22" fillId="0" borderId="0" xfId="0" applyFont="1" applyAlignment="1">
      <alignment horizontal="left" wrapText="1"/>
    </xf>
    <xf numFmtId="4" fontId="20" fillId="4" borderId="25" xfId="0" applyNumberFormat="1" applyFont="1" applyFill="1" applyBorder="1" applyAlignment="1" applyProtection="1">
      <alignment horizontal="left"/>
      <protection locked="0"/>
    </xf>
    <xf numFmtId="4" fontId="20" fillId="4" borderId="26" xfId="0" applyNumberFormat="1" applyFont="1" applyFill="1" applyBorder="1" applyAlignment="1" applyProtection="1">
      <alignment horizontal="left"/>
      <protection locked="0"/>
    </xf>
    <xf numFmtId="4" fontId="20" fillId="4" borderId="27" xfId="0" applyNumberFormat="1" applyFont="1" applyFill="1" applyBorder="1" applyAlignment="1" applyProtection="1">
      <alignment horizontal="left"/>
      <protection locked="0"/>
    </xf>
    <xf numFmtId="4" fontId="20" fillId="4" borderId="28" xfId="0" applyNumberFormat="1" applyFont="1" applyFill="1" applyBorder="1" applyAlignment="1" applyProtection="1">
      <alignment horizontal="left"/>
      <protection locked="0"/>
    </xf>
    <xf numFmtId="4" fontId="20" fillId="4" borderId="29" xfId="0" applyNumberFormat="1" applyFont="1" applyFill="1" applyBorder="1" applyAlignment="1" applyProtection="1">
      <alignment horizontal="left"/>
      <protection locked="0"/>
    </xf>
    <xf numFmtId="4" fontId="20" fillId="4" borderId="30" xfId="0" applyNumberFormat="1" applyFont="1" applyFill="1" applyBorder="1" applyAlignment="1" applyProtection="1">
      <alignment horizontal="left"/>
      <protection locked="0"/>
    </xf>
    <xf numFmtId="0" fontId="6" fillId="0" borderId="0" xfId="0" applyFont="1" applyAlignment="1">
      <alignment horizontal="right"/>
    </xf>
    <xf numFmtId="49" fontId="7" fillId="0" borderId="22" xfId="0" applyNumberFormat="1" applyFont="1" applyBorder="1" applyAlignment="1">
      <alignment horizontal="left"/>
    </xf>
    <xf numFmtId="49" fontId="7" fillId="0" borderId="24" xfId="0" applyNumberFormat="1" applyFont="1" applyBorder="1" applyAlignment="1">
      <alignment horizontal="left"/>
    </xf>
    <xf numFmtId="0" fontId="17" fillId="0" borderId="28" xfId="0" applyFont="1" applyBorder="1" applyAlignment="1">
      <alignment horizontal="left" vertical="center"/>
    </xf>
    <xf numFmtId="0" fontId="17" fillId="0" borderId="30" xfId="0" applyFont="1" applyBorder="1" applyAlignment="1">
      <alignment horizontal="left" vertical="center"/>
    </xf>
    <xf numFmtId="0" fontId="12" fillId="0" borderId="28" xfId="0" applyFont="1" applyBorder="1" applyAlignment="1">
      <alignment horizontal="left" vertical="center"/>
    </xf>
    <xf numFmtId="0" fontId="12" fillId="0" borderId="30" xfId="0" applyFont="1" applyBorder="1" applyAlignment="1">
      <alignment horizontal="left" vertical="center"/>
    </xf>
    <xf numFmtId="0" fontId="17" fillId="0" borderId="25" xfId="0" applyFont="1" applyBorder="1" applyAlignment="1">
      <alignment horizontal="left" vertical="center"/>
    </xf>
    <xf numFmtId="0" fontId="17" fillId="0" borderId="27" xfId="0" applyFont="1" applyBorder="1" applyAlignment="1">
      <alignment horizontal="left" vertical="center"/>
    </xf>
    <xf numFmtId="166" fontId="11" fillId="5" borderId="28" xfId="0" applyNumberFormat="1" applyFont="1" applyFill="1" applyBorder="1" applyAlignment="1">
      <alignment horizontal="left" vertical="center" wrapText="1"/>
    </xf>
    <xf numFmtId="166" fontId="11" fillId="5" borderId="29" xfId="0" applyNumberFormat="1" applyFont="1" applyFill="1" applyBorder="1" applyAlignment="1">
      <alignment horizontal="left" vertical="center" wrapText="1"/>
    </xf>
    <xf numFmtId="166" fontId="11" fillId="5" borderId="30" xfId="0" applyNumberFormat="1" applyFont="1" applyFill="1" applyBorder="1" applyAlignment="1">
      <alignment horizontal="left" vertical="center" wrapText="1"/>
    </xf>
    <xf numFmtId="0" fontId="10" fillId="0" borderId="0" xfId="0" applyFont="1" applyAlignment="1">
      <alignment horizontal="left"/>
    </xf>
    <xf numFmtId="0" fontId="21" fillId="7" borderId="28" xfId="0" applyFont="1" applyFill="1" applyBorder="1" applyProtection="1">
      <protection locked="0"/>
    </xf>
    <xf numFmtId="0" fontId="21" fillId="7" borderId="29" xfId="0" applyFont="1" applyFill="1" applyBorder="1" applyProtection="1">
      <protection locked="0"/>
    </xf>
    <xf numFmtId="0" fontId="21" fillId="7" borderId="30" xfId="0" applyFont="1" applyFill="1" applyBorder="1" applyProtection="1">
      <protection locked="0"/>
    </xf>
    <xf numFmtId="164" fontId="16" fillId="8" borderId="25" xfId="0" applyNumberFormat="1" applyFont="1" applyFill="1" applyBorder="1" applyAlignment="1">
      <alignment horizontal="center"/>
    </xf>
    <xf numFmtId="164" fontId="16" fillId="8" borderId="26" xfId="0" applyNumberFormat="1" applyFont="1" applyFill="1" applyBorder="1" applyAlignment="1">
      <alignment horizontal="center"/>
    </xf>
    <xf numFmtId="164" fontId="16" fillId="8" borderId="27" xfId="0" applyNumberFormat="1" applyFont="1" applyFill="1" applyBorder="1" applyAlignment="1">
      <alignment horizontal="center"/>
    </xf>
    <xf numFmtId="164" fontId="16" fillId="8" borderId="31" xfId="0" applyNumberFormat="1" applyFont="1" applyFill="1" applyBorder="1" applyAlignment="1">
      <alignment horizontal="center"/>
    </xf>
    <xf numFmtId="164" fontId="16" fillId="8" borderId="0" xfId="0" applyNumberFormat="1" applyFont="1" applyFill="1" applyAlignment="1">
      <alignment horizontal="center"/>
    </xf>
    <xf numFmtId="164" fontId="16" fillId="8" borderId="32" xfId="0" applyNumberFormat="1" applyFont="1" applyFill="1" applyBorder="1" applyAlignment="1">
      <alignment horizontal="center"/>
    </xf>
    <xf numFmtId="49" fontId="13" fillId="2" borderId="28" xfId="0" applyNumberFormat="1" applyFont="1" applyFill="1" applyBorder="1" applyAlignment="1" applyProtection="1">
      <alignment vertical="center" wrapText="1"/>
      <protection locked="0"/>
    </xf>
    <xf numFmtId="49" fontId="13" fillId="2" borderId="30" xfId="0" applyNumberFormat="1" applyFont="1" applyFill="1" applyBorder="1" applyAlignment="1" applyProtection="1">
      <alignment vertical="center" wrapText="1"/>
      <protection locked="0"/>
    </xf>
    <xf numFmtId="166" fontId="11" fillId="5" borderId="26" xfId="0" applyNumberFormat="1" applyFont="1" applyFill="1" applyBorder="1" applyAlignment="1">
      <alignment horizontal="left" wrapText="1"/>
    </xf>
    <xf numFmtId="0" fontId="24" fillId="0" borderId="0" xfId="0" applyFont="1" applyAlignment="1">
      <alignment horizontal="left" wrapText="1"/>
    </xf>
    <xf numFmtId="0" fontId="22" fillId="0" borderId="22" xfId="0" applyFont="1" applyBorder="1" applyAlignment="1">
      <alignment horizontal="left" wrapText="1"/>
    </xf>
    <xf numFmtId="0" fontId="2" fillId="0" borderId="24" xfId="0" applyFont="1" applyBorder="1" applyAlignment="1">
      <alignment horizontal="left"/>
    </xf>
    <xf numFmtId="49" fontId="13" fillId="9" borderId="28" xfId="0" applyNumberFormat="1" applyFont="1" applyFill="1" applyBorder="1" applyAlignment="1">
      <alignment vertical="center" wrapText="1"/>
    </xf>
    <xf numFmtId="0" fontId="11" fillId="5" borderId="26" xfId="0" applyFont="1" applyFill="1" applyBorder="1" applyAlignment="1">
      <alignment horizontal="left" wrapText="1"/>
    </xf>
    <xf numFmtId="1" fontId="12" fillId="6" borderId="0" xfId="0" applyNumberFormat="1" applyFont="1" applyFill="1" applyAlignment="1">
      <alignment horizontal="left" vertical="top"/>
    </xf>
    <xf numFmtId="1" fontId="17" fillId="6" borderId="0" xfId="0" applyNumberFormat="1" applyFont="1" applyFill="1" applyAlignment="1">
      <alignment horizontal="left" vertical="top" wrapText="1"/>
    </xf>
    <xf numFmtId="1" fontId="12" fillId="6" borderId="0" xfId="0" applyNumberFormat="1" applyFont="1" applyFill="1" applyAlignment="1">
      <alignment horizontal="left" vertical="top" wrapText="1"/>
    </xf>
    <xf numFmtId="0" fontId="14" fillId="7" borderId="28" xfId="0" applyFont="1" applyFill="1" applyBorder="1" applyAlignment="1" applyProtection="1">
      <alignment horizontal="center" vertical="top"/>
      <protection locked="0"/>
    </xf>
    <xf numFmtId="0" fontId="14" fillId="7" borderId="29" xfId="0" applyFont="1" applyFill="1" applyBorder="1" applyAlignment="1" applyProtection="1">
      <alignment horizontal="center" vertical="top"/>
      <protection locked="0"/>
    </xf>
    <xf numFmtId="166" fontId="11" fillId="5" borderId="0" xfId="0" applyNumberFormat="1" applyFont="1" applyFill="1" applyAlignment="1">
      <alignment horizontal="left" wrapText="1"/>
    </xf>
    <xf numFmtId="1" fontId="17" fillId="6" borderId="0" xfId="0" applyNumberFormat="1" applyFont="1" applyFill="1" applyAlignment="1">
      <alignment horizontal="left" vertical="top"/>
    </xf>
    <xf numFmtId="49" fontId="13" fillId="2" borderId="29" xfId="0" applyNumberFormat="1" applyFont="1" applyFill="1" applyBorder="1" applyAlignment="1" applyProtection="1">
      <alignment vertical="center" wrapText="1"/>
      <protection locked="0"/>
    </xf>
  </cellXfs>
  <cellStyles count="3">
    <cellStyle name="Encabezado 4" xfId="2" builtinId="19"/>
    <cellStyle name="Normal" xfId="0" builtinId="0"/>
    <cellStyle name="Título 3" xfId="1" builtinId="18"/>
  </cellStyles>
  <dxfs count="0"/>
  <tableStyles count="0" defaultTableStyle="TableStyleMedium2" defaultPivotStyle="PivotStyleLight16"/>
  <colors>
    <mruColors>
      <color rgb="FFD6DCE0"/>
      <color rgb="FFEDF3F3"/>
      <color rgb="FF9DBEC3"/>
      <color rgb="FF4B72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0</xdr:col>
      <xdr:colOff>47625</xdr:colOff>
      <xdr:row>0</xdr:row>
      <xdr:rowOff>76200</xdr:rowOff>
    </xdr:from>
    <xdr:ext cx="1695450" cy="438150"/>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1695450" cy="438150"/>
        </a:xfrm>
        <a:prstGeom prst="rect">
          <a:avLst/>
        </a:prstGeom>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eachef@seachef.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10"/>
  <sheetViews>
    <sheetView showGridLines="0" tabSelected="1" zoomScale="130" zoomScaleNormal="130" workbookViewId="0">
      <selection activeCell="W1" sqref="W1:W1048576"/>
    </sheetView>
  </sheetViews>
  <sheetFormatPr baseColWidth="10" defaultColWidth="9.83203125" defaultRowHeight="15" x14ac:dyDescent="0.2"/>
  <cols>
    <col min="1" max="1" width="7" customWidth="1"/>
    <col min="2" max="2" width="0.1640625" customWidth="1"/>
    <col min="3" max="3" width="14.1640625" customWidth="1"/>
    <col min="4" max="4" width="32.5" customWidth="1"/>
    <col min="5" max="5" width="12.5" customWidth="1"/>
    <col min="6" max="6" width="12.6640625" customWidth="1"/>
    <col min="7" max="7" width="9.5" customWidth="1"/>
    <col min="8" max="9" width="7.5" customWidth="1"/>
    <col min="10" max="10" width="12.33203125" customWidth="1"/>
    <col min="11" max="11" width="9.33203125" customWidth="1"/>
    <col min="12" max="12" width="2.5" hidden="1" customWidth="1"/>
    <col min="13" max="13" width="13.83203125" customWidth="1"/>
    <col min="14" max="14" width="9.83203125" customWidth="1"/>
    <col min="15" max="15" width="8.5" customWidth="1"/>
    <col min="16" max="16" width="15.33203125" customWidth="1"/>
    <col min="17" max="17" width="8" customWidth="1"/>
    <col min="18" max="18" width="7.1640625" customWidth="1"/>
    <col min="19" max="19" width="13" customWidth="1"/>
    <col min="20" max="20" width="9.1640625" customWidth="1"/>
    <col min="21" max="21" width="11.1640625" customWidth="1"/>
    <col min="22" max="22" width="4.1640625" hidden="1" customWidth="1"/>
    <col min="23" max="23" width="9.1640625" hidden="1" customWidth="1"/>
  </cols>
  <sheetData>
    <row r="1" spans="1:22" ht="51" customHeight="1" x14ac:dyDescent="0.55000000000000004">
      <c r="A1" s="12"/>
      <c r="B1" s="12"/>
      <c r="C1" s="12"/>
      <c r="D1" s="5"/>
      <c r="E1" s="13"/>
      <c r="F1" s="13"/>
      <c r="G1" s="13"/>
      <c r="H1" s="5"/>
      <c r="I1" s="5"/>
      <c r="J1" s="5"/>
      <c r="K1" s="13"/>
      <c r="L1" s="13"/>
      <c r="M1" s="118" t="s">
        <v>0</v>
      </c>
      <c r="N1" s="118"/>
      <c r="O1" s="118"/>
      <c r="P1" s="118"/>
      <c r="Q1" s="118"/>
      <c r="R1" s="118"/>
      <c r="S1" s="118"/>
      <c r="T1" s="118"/>
      <c r="U1" s="118"/>
      <c r="V1" s="118"/>
    </row>
    <row r="2" spans="1:22" ht="5.25" customHeight="1" x14ac:dyDescent="0.2"/>
    <row r="3" spans="1:22" ht="15.75" customHeight="1" thickBot="1" x14ac:dyDescent="0.3">
      <c r="A3" s="103" t="s">
        <v>1</v>
      </c>
      <c r="B3" s="103"/>
      <c r="C3" s="103"/>
      <c r="D3" s="103"/>
      <c r="E3" s="103"/>
    </row>
    <row r="4" spans="1:22" ht="22.5" customHeight="1" thickTop="1" thickBot="1" x14ac:dyDescent="0.25">
      <c r="A4" s="104" t="s">
        <v>2</v>
      </c>
      <c r="B4" s="104"/>
      <c r="C4" s="104"/>
      <c r="D4" s="104"/>
      <c r="E4" s="104"/>
      <c r="F4" s="104"/>
      <c r="G4" s="104"/>
      <c r="H4" s="54"/>
      <c r="I4" s="54"/>
      <c r="J4" s="54"/>
      <c r="M4" s="105" t="s">
        <v>3</v>
      </c>
      <c r="N4" s="105"/>
      <c r="O4" s="119" t="s">
        <v>4</v>
      </c>
      <c r="P4" s="119"/>
      <c r="Q4" s="119"/>
      <c r="R4" s="119"/>
      <c r="S4" s="119"/>
      <c r="T4" s="54"/>
      <c r="U4" s="54"/>
      <c r="V4" s="54"/>
    </row>
    <row r="5" spans="1:22" ht="13.5" customHeight="1" thickBot="1" x14ac:dyDescent="0.25">
      <c r="A5" s="109" t="s">
        <v>5</v>
      </c>
      <c r="B5" s="109"/>
      <c r="C5" s="109"/>
      <c r="D5" s="109"/>
      <c r="E5" s="109"/>
      <c r="F5" s="109"/>
      <c r="G5" s="109"/>
      <c r="H5" s="46"/>
      <c r="I5" s="46"/>
      <c r="J5" s="46"/>
      <c r="L5" s="5"/>
      <c r="M5" s="106" t="s">
        <v>6</v>
      </c>
      <c r="N5" s="106"/>
      <c r="O5" s="119" t="s">
        <v>7</v>
      </c>
      <c r="P5" s="119"/>
      <c r="Q5" s="119"/>
      <c r="R5" s="119"/>
      <c r="S5" s="119"/>
      <c r="T5" s="54"/>
      <c r="U5" s="54"/>
      <c r="V5" s="54"/>
    </row>
    <row r="6" spans="1:22" ht="13.5" customHeight="1" thickBot="1" x14ac:dyDescent="0.25">
      <c r="A6" s="110" t="s">
        <v>8</v>
      </c>
      <c r="B6" s="110"/>
      <c r="C6" s="110"/>
      <c r="D6" s="110"/>
      <c r="E6" s="110"/>
      <c r="F6" s="110"/>
      <c r="G6" s="110"/>
      <c r="H6" s="55"/>
      <c r="I6" s="55"/>
      <c r="J6" s="55"/>
      <c r="K6" s="14"/>
      <c r="L6" s="14"/>
      <c r="M6" s="105" t="s">
        <v>9</v>
      </c>
      <c r="N6" s="105"/>
      <c r="O6" s="107">
        <v>45954</v>
      </c>
      <c r="P6" s="107"/>
      <c r="Q6" s="107"/>
      <c r="R6" s="107"/>
      <c r="S6" s="107"/>
      <c r="T6" s="54"/>
      <c r="U6" s="54"/>
      <c r="V6" s="54"/>
    </row>
    <row r="7" spans="1:22" ht="13.5" customHeight="1" thickBot="1" x14ac:dyDescent="0.25">
      <c r="A7" s="111" t="s">
        <v>10</v>
      </c>
      <c r="B7" s="111"/>
      <c r="C7" s="111"/>
      <c r="D7" s="111"/>
      <c r="E7" s="111"/>
      <c r="F7" s="111"/>
      <c r="G7" s="111"/>
      <c r="H7" s="55"/>
      <c r="I7" s="55"/>
      <c r="J7" s="55"/>
      <c r="K7" s="14"/>
      <c r="L7" s="14"/>
      <c r="M7" s="105"/>
      <c r="N7" s="105"/>
      <c r="O7" s="120"/>
      <c r="P7" s="120"/>
      <c r="Q7" s="120"/>
      <c r="R7" s="120"/>
      <c r="S7" s="120"/>
      <c r="T7" s="120"/>
      <c r="U7" s="54"/>
      <c r="V7" s="54"/>
    </row>
    <row r="8" spans="1:22" ht="13.5" customHeight="1" thickBot="1" x14ac:dyDescent="0.25">
      <c r="A8" s="111" t="s">
        <v>11</v>
      </c>
      <c r="B8" s="111"/>
      <c r="C8" s="111"/>
      <c r="D8" s="111"/>
      <c r="E8" s="111"/>
      <c r="F8" s="111"/>
      <c r="G8" s="111"/>
      <c r="H8" s="55"/>
      <c r="I8" s="55"/>
      <c r="J8" s="55"/>
      <c r="K8" s="15"/>
      <c r="L8" s="15"/>
      <c r="M8" s="105" t="s">
        <v>12</v>
      </c>
      <c r="N8" s="105"/>
      <c r="O8" s="108">
        <v>45954</v>
      </c>
      <c r="P8" s="108"/>
      <c r="Q8" s="56"/>
      <c r="R8" s="56"/>
      <c r="S8" s="54"/>
      <c r="T8" s="57"/>
      <c r="U8" s="57"/>
      <c r="V8" s="57"/>
    </row>
    <row r="9" spans="1:22" ht="15" customHeight="1" thickBot="1" x14ac:dyDescent="0.25">
      <c r="A9" s="111" t="s">
        <v>13</v>
      </c>
      <c r="B9" s="111"/>
      <c r="C9" s="111"/>
      <c r="D9" s="111"/>
      <c r="E9" s="111"/>
      <c r="F9" s="111"/>
      <c r="G9" s="111"/>
      <c r="H9" s="47"/>
      <c r="I9" s="48"/>
      <c r="J9" s="15"/>
      <c r="K9" s="15"/>
      <c r="L9" s="58" t="s">
        <v>14</v>
      </c>
      <c r="M9" s="58"/>
      <c r="N9" s="120"/>
      <c r="O9" s="120" t="s">
        <v>15</v>
      </c>
      <c r="P9" s="120"/>
      <c r="Q9" s="120"/>
      <c r="R9" s="120"/>
      <c r="S9" s="120"/>
      <c r="T9" s="57"/>
      <c r="U9" s="57"/>
    </row>
    <row r="10" spans="1:22" ht="15" customHeight="1" thickBot="1" x14ac:dyDescent="0.25">
      <c r="A10" s="49" t="s">
        <v>16</v>
      </c>
      <c r="B10" s="49" t="s">
        <v>16</v>
      </c>
      <c r="C10" s="143" t="s">
        <v>17</v>
      </c>
      <c r="D10" s="143"/>
      <c r="E10" s="143"/>
      <c r="F10" s="55"/>
      <c r="G10" s="55"/>
      <c r="H10" s="55"/>
      <c r="I10" s="55"/>
      <c r="J10" s="55"/>
      <c r="K10" s="15"/>
      <c r="L10" s="15"/>
      <c r="M10" s="59" t="s">
        <v>18</v>
      </c>
      <c r="N10" s="59"/>
      <c r="O10" s="107">
        <v>45961.5</v>
      </c>
      <c r="P10" s="107"/>
      <c r="Q10" s="60"/>
      <c r="R10" s="60"/>
      <c r="S10" s="58"/>
      <c r="T10" s="57"/>
      <c r="U10" s="57"/>
      <c r="V10" s="57"/>
    </row>
    <row r="11" spans="1:22" ht="15" customHeight="1" thickBot="1" x14ac:dyDescent="0.25">
      <c r="A11" s="50" t="s">
        <v>19</v>
      </c>
      <c r="B11" s="55"/>
      <c r="C11" s="144" t="s">
        <v>20</v>
      </c>
      <c r="D11" s="144"/>
      <c r="E11" s="144"/>
      <c r="F11" s="144"/>
      <c r="G11" s="144"/>
      <c r="H11" s="55"/>
      <c r="I11" s="55"/>
      <c r="J11" s="55"/>
      <c r="K11" s="15"/>
      <c r="L11" s="15"/>
      <c r="M11" s="59" t="s">
        <v>21</v>
      </c>
      <c r="N11" s="59"/>
      <c r="O11" s="61" t="s">
        <v>22</v>
      </c>
      <c r="P11" s="62" t="s">
        <v>23</v>
      </c>
      <c r="Q11" s="62"/>
      <c r="R11" s="62"/>
      <c r="S11" s="63">
        <v>7</v>
      </c>
      <c r="T11" s="57"/>
      <c r="U11" s="57"/>
      <c r="V11" s="57"/>
    </row>
    <row r="12" spans="1:22" ht="15.75" customHeight="1" thickBot="1" x14ac:dyDescent="0.25">
      <c r="A12" s="145" t="s">
        <v>24</v>
      </c>
      <c r="B12" s="145"/>
      <c r="C12" s="145"/>
      <c r="D12" s="145"/>
      <c r="E12" s="64"/>
      <c r="F12" s="64"/>
      <c r="G12" s="64"/>
      <c r="H12" s="64"/>
      <c r="I12" s="64"/>
      <c r="J12" s="64"/>
      <c r="K12" s="14"/>
      <c r="L12" s="14"/>
      <c r="M12" s="105" t="s">
        <v>25</v>
      </c>
      <c r="N12" s="105"/>
      <c r="O12" s="112"/>
      <c r="P12" s="113"/>
      <c r="Q12" s="113"/>
      <c r="R12" s="113"/>
      <c r="S12" s="114"/>
      <c r="T12" s="57"/>
      <c r="U12" s="57"/>
      <c r="V12" s="57"/>
    </row>
    <row r="13" spans="1:22" ht="15.75" customHeight="1" thickBot="1" x14ac:dyDescent="0.25">
      <c r="A13" s="106" t="s">
        <v>26</v>
      </c>
      <c r="B13" s="106"/>
      <c r="C13" s="106"/>
      <c r="D13" s="119" t="s">
        <v>27</v>
      </c>
      <c r="E13" s="119"/>
      <c r="F13" s="119"/>
      <c r="G13" s="119"/>
      <c r="H13" s="119"/>
      <c r="I13" s="119"/>
      <c r="J13" s="119"/>
      <c r="K13" s="14"/>
      <c r="L13" s="14"/>
      <c r="M13" s="105" t="s">
        <v>28</v>
      </c>
      <c r="N13" s="105"/>
      <c r="O13" s="115" t="s">
        <v>29</v>
      </c>
      <c r="P13" s="116"/>
      <c r="Q13" s="116"/>
      <c r="R13" s="116"/>
      <c r="S13" s="117"/>
      <c r="T13" s="65"/>
      <c r="U13" s="57"/>
      <c r="V13" s="57"/>
    </row>
    <row r="14" spans="1:22" ht="16.5" customHeight="1" thickBot="1" x14ac:dyDescent="0.25">
      <c r="A14" s="106" t="s">
        <v>30</v>
      </c>
      <c r="B14" s="106"/>
      <c r="C14" s="106"/>
      <c r="D14" s="119" t="s">
        <v>31</v>
      </c>
      <c r="E14" s="119"/>
      <c r="F14" s="119"/>
      <c r="G14" s="119"/>
      <c r="H14" s="119"/>
      <c r="I14" s="119"/>
      <c r="J14" s="119"/>
      <c r="K14" s="14"/>
      <c r="L14" s="14"/>
      <c r="M14" s="106" t="s">
        <v>32</v>
      </c>
      <c r="N14" s="106"/>
      <c r="O14" s="66" t="s">
        <v>33</v>
      </c>
      <c r="P14" s="58"/>
      <c r="Q14" s="58"/>
      <c r="R14" s="58"/>
      <c r="S14" s="67"/>
      <c r="T14" s="54"/>
      <c r="U14" s="57"/>
      <c r="V14" s="57"/>
    </row>
    <row r="15" spans="1:22" ht="15.75" customHeight="1" thickBot="1" x14ac:dyDescent="0.25">
      <c r="A15" s="106" t="s">
        <v>34</v>
      </c>
      <c r="B15" s="106"/>
      <c r="C15" s="106"/>
      <c r="D15" s="119"/>
      <c r="E15" s="119"/>
      <c r="F15" s="119"/>
      <c r="G15" s="119"/>
      <c r="H15" s="119"/>
      <c r="I15" s="119"/>
      <c r="J15" s="119"/>
      <c r="K15" s="14"/>
      <c r="L15" s="14"/>
      <c r="M15" s="106" t="s">
        <v>35</v>
      </c>
      <c r="N15" s="106"/>
      <c r="O15" s="68">
        <v>0</v>
      </c>
      <c r="P15" s="16"/>
      <c r="Q15" s="69"/>
      <c r="R15" s="69"/>
      <c r="S15" s="67">
        <v>0</v>
      </c>
      <c r="T15" s="54"/>
      <c r="U15" s="57"/>
      <c r="V15" s="57"/>
    </row>
    <row r="16" spans="1:22" ht="15.75" customHeight="1" thickBot="1" x14ac:dyDescent="0.25">
      <c r="A16" s="106" t="s">
        <v>36</v>
      </c>
      <c r="B16" s="106"/>
      <c r="C16" s="106"/>
      <c r="D16" s="119" t="s">
        <v>37</v>
      </c>
      <c r="E16" s="119"/>
      <c r="F16" s="119"/>
      <c r="G16" s="119"/>
      <c r="H16" s="119"/>
      <c r="I16" s="119"/>
      <c r="J16" s="119"/>
      <c r="K16" s="14"/>
      <c r="L16" s="14"/>
      <c r="M16" s="106" t="s">
        <v>38</v>
      </c>
      <c r="N16" s="106"/>
      <c r="O16" s="68">
        <v>0</v>
      </c>
      <c r="P16" s="16"/>
      <c r="Q16" s="69"/>
      <c r="R16" s="69"/>
      <c r="S16" s="58"/>
      <c r="T16" s="54"/>
      <c r="U16" s="57"/>
      <c r="V16" s="57"/>
    </row>
    <row r="17" spans="1:22" ht="13.5" customHeight="1" thickBot="1" x14ac:dyDescent="0.25">
      <c r="A17" s="106" t="s">
        <v>39</v>
      </c>
      <c r="B17" s="106"/>
      <c r="C17" s="106"/>
      <c r="D17" s="119" t="s">
        <v>40</v>
      </c>
      <c r="E17" s="119"/>
      <c r="F17" s="119"/>
      <c r="G17" s="119"/>
      <c r="H17" s="119"/>
      <c r="I17" s="119"/>
      <c r="J17" s="119"/>
      <c r="K17" s="14"/>
      <c r="L17" s="14"/>
      <c r="M17" s="105" t="s">
        <v>41</v>
      </c>
      <c r="N17" s="105"/>
      <c r="O17" s="112"/>
      <c r="P17" s="113"/>
      <c r="Q17" s="113"/>
      <c r="R17" s="113"/>
      <c r="S17" s="114"/>
      <c r="T17" s="18"/>
      <c r="U17" s="18"/>
      <c r="V17" s="14"/>
    </row>
    <row r="18" spans="1:22" ht="13.5" customHeight="1" x14ac:dyDescent="0.2">
      <c r="A18" s="14"/>
      <c r="B18" s="14"/>
      <c r="C18" s="14"/>
      <c r="D18" s="17"/>
      <c r="E18" s="130"/>
      <c r="F18" s="130"/>
      <c r="G18" s="17"/>
      <c r="H18" s="130"/>
      <c r="I18" s="130"/>
      <c r="J18" s="130"/>
      <c r="K18" s="130"/>
      <c r="L18" s="130"/>
      <c r="M18" s="17"/>
      <c r="N18" s="19"/>
      <c r="O18" s="14"/>
      <c r="P18" s="17"/>
      <c r="Q18" s="17"/>
      <c r="R18" s="17"/>
      <c r="S18" s="20"/>
      <c r="T18" s="17"/>
      <c r="U18" s="20"/>
      <c r="V18" s="14"/>
    </row>
    <row r="19" spans="1:22" ht="27" customHeight="1" x14ac:dyDescent="0.2">
      <c r="A19" s="6" t="s">
        <v>42</v>
      </c>
      <c r="B19" s="1"/>
      <c r="C19" s="1" t="s">
        <v>43</v>
      </c>
      <c r="D19" s="1" t="s">
        <v>44</v>
      </c>
      <c r="E19" s="1" t="s">
        <v>45</v>
      </c>
      <c r="F19" s="7" t="s">
        <v>46</v>
      </c>
      <c r="G19" s="4" t="s">
        <v>47</v>
      </c>
      <c r="H19" s="4" t="s">
        <v>48</v>
      </c>
      <c r="I19" s="4" t="s">
        <v>49</v>
      </c>
      <c r="J19" s="4" t="s">
        <v>50</v>
      </c>
      <c r="K19" s="4" t="s">
        <v>51</v>
      </c>
      <c r="L19" s="102" t="str">
        <f>CONCATENATE("Unit Price ", "( ",Currency, " )")</f>
        <v>Unit Price ( USD )</v>
      </c>
      <c r="M19" s="102"/>
      <c r="N19" s="4" t="s">
        <v>52</v>
      </c>
      <c r="O19" s="4" t="s">
        <v>53</v>
      </c>
      <c r="P19" s="4" t="s">
        <v>54</v>
      </c>
      <c r="Q19" s="4" t="s">
        <v>55</v>
      </c>
      <c r="R19" s="4" t="s">
        <v>56</v>
      </c>
      <c r="S19" s="102" t="s">
        <v>57</v>
      </c>
      <c r="T19" s="102"/>
      <c r="U19" s="147" t="s">
        <v>58</v>
      </c>
      <c r="V19" s="147"/>
    </row>
    <row r="20" spans="1:22" x14ac:dyDescent="0.2">
      <c r="A20" s="70"/>
      <c r="B20" s="70"/>
      <c r="C20" s="71" t="s">
        <v>59</v>
      </c>
      <c r="D20" s="72"/>
      <c r="E20" s="73"/>
      <c r="F20" s="71"/>
      <c r="G20" s="74"/>
      <c r="H20" s="71"/>
      <c r="I20" s="71"/>
      <c r="J20" s="75"/>
      <c r="K20" s="76"/>
      <c r="L20" s="77"/>
      <c r="M20" s="78"/>
      <c r="N20" s="75"/>
      <c r="O20" s="75"/>
      <c r="P20" s="79"/>
      <c r="Q20" s="80"/>
      <c r="R20" s="81"/>
      <c r="S20" s="146"/>
      <c r="T20" s="141"/>
      <c r="U20" s="140"/>
      <c r="V20" s="141"/>
    </row>
    <row r="21" spans="1:22" x14ac:dyDescent="0.2">
      <c r="A21" s="38">
        <v>1</v>
      </c>
      <c r="B21" s="38">
        <v>5211205</v>
      </c>
      <c r="C21" s="39" t="s">
        <v>60</v>
      </c>
      <c r="D21" s="40" t="s">
        <v>61</v>
      </c>
      <c r="E21" s="41" t="s">
        <v>60</v>
      </c>
      <c r="F21" s="39" t="s">
        <v>62</v>
      </c>
      <c r="G21" s="43">
        <v>100</v>
      </c>
      <c r="H21" s="42" t="s">
        <v>63</v>
      </c>
      <c r="I21" s="42"/>
      <c r="J21" s="51">
        <v>0</v>
      </c>
      <c r="K21" s="82">
        <v>10</v>
      </c>
      <c r="L21" s="82"/>
      <c r="M21" s="83">
        <v>4.0199999999999996</v>
      </c>
      <c r="N21" s="84">
        <v>0</v>
      </c>
      <c r="O21" s="84">
        <v>0</v>
      </c>
      <c r="P21" s="52">
        <f t="shared" ref="P21:P52" si="0">ROUND(((K21*M21) - (K21*M21*N21/100)) + (((K21*M21) - (K21*M21*N21/100)) * O21/100), 4)</f>
        <v>40.200000000000003</v>
      </c>
      <c r="Q21" s="85" t="s">
        <v>42</v>
      </c>
      <c r="R21" s="86" t="s">
        <v>42</v>
      </c>
      <c r="S21" s="140" t="s">
        <v>338</v>
      </c>
      <c r="T21" s="141"/>
      <c r="U21" s="2"/>
      <c r="V21" s="3"/>
    </row>
    <row r="22" spans="1:22" ht="64" x14ac:dyDescent="0.2">
      <c r="A22" s="38">
        <v>2</v>
      </c>
      <c r="B22" s="38">
        <v>99990022643514</v>
      </c>
      <c r="C22" s="39" t="s">
        <v>64</v>
      </c>
      <c r="D22" s="40" t="s">
        <v>65</v>
      </c>
      <c r="E22" s="41" t="s">
        <v>64</v>
      </c>
      <c r="F22" s="39"/>
      <c r="G22" s="43">
        <v>1</v>
      </c>
      <c r="H22" s="42" t="s">
        <v>66</v>
      </c>
      <c r="I22" s="42"/>
      <c r="J22" s="51">
        <v>0</v>
      </c>
      <c r="K22" s="82">
        <v>4</v>
      </c>
      <c r="L22" s="82"/>
      <c r="M22" s="83">
        <v>30.65</v>
      </c>
      <c r="N22" s="84">
        <v>0</v>
      </c>
      <c r="O22" s="84">
        <v>0</v>
      </c>
      <c r="P22" s="52">
        <f t="shared" si="0"/>
        <v>122.6</v>
      </c>
      <c r="Q22" s="85" t="s">
        <v>42</v>
      </c>
      <c r="R22" s="86" t="s">
        <v>42</v>
      </c>
      <c r="S22" s="140" t="s">
        <v>344</v>
      </c>
      <c r="T22" s="141"/>
      <c r="U22" s="2" t="s">
        <v>67</v>
      </c>
      <c r="V22" s="3"/>
    </row>
    <row r="23" spans="1:22" ht="64" x14ac:dyDescent="0.2">
      <c r="A23" s="38">
        <v>3</v>
      </c>
      <c r="B23" s="38">
        <v>6430941</v>
      </c>
      <c r="C23" s="39" t="s">
        <v>68</v>
      </c>
      <c r="D23" s="40" t="s">
        <v>69</v>
      </c>
      <c r="E23" s="41" t="s">
        <v>68</v>
      </c>
      <c r="F23" s="39" t="s">
        <v>70</v>
      </c>
      <c r="G23" s="43">
        <v>1</v>
      </c>
      <c r="H23" s="42" t="s">
        <v>66</v>
      </c>
      <c r="I23" s="42"/>
      <c r="J23" s="51">
        <v>0</v>
      </c>
      <c r="K23" s="82">
        <v>4</v>
      </c>
      <c r="L23" s="82"/>
      <c r="M23" s="83">
        <v>30.65</v>
      </c>
      <c r="N23" s="84">
        <v>0</v>
      </c>
      <c r="O23" s="84">
        <v>0</v>
      </c>
      <c r="P23" s="52">
        <f t="shared" si="0"/>
        <v>122.6</v>
      </c>
      <c r="Q23" s="85" t="s">
        <v>42</v>
      </c>
      <c r="R23" s="86" t="s">
        <v>42</v>
      </c>
      <c r="S23" s="140" t="s">
        <v>344</v>
      </c>
      <c r="T23" s="141"/>
      <c r="U23" s="2" t="s">
        <v>71</v>
      </c>
      <c r="V23" s="3"/>
    </row>
    <row r="24" spans="1:22" x14ac:dyDescent="0.2">
      <c r="A24" s="38">
        <v>4</v>
      </c>
      <c r="B24" s="38">
        <v>5210921</v>
      </c>
      <c r="C24" s="39" t="s">
        <v>72</v>
      </c>
      <c r="D24" s="40" t="s">
        <v>73</v>
      </c>
      <c r="E24" s="41" t="s">
        <v>72</v>
      </c>
      <c r="F24" s="39" t="s">
        <v>62</v>
      </c>
      <c r="G24" s="43">
        <v>500</v>
      </c>
      <c r="H24" s="42" t="s">
        <v>63</v>
      </c>
      <c r="I24" s="42"/>
      <c r="J24" s="51">
        <v>0</v>
      </c>
      <c r="K24" s="82">
        <v>12</v>
      </c>
      <c r="L24" s="82"/>
      <c r="M24" s="83">
        <v>2.08</v>
      </c>
      <c r="N24" s="84">
        <v>0</v>
      </c>
      <c r="O24" s="84">
        <v>0</v>
      </c>
      <c r="P24" s="52">
        <f t="shared" si="0"/>
        <v>24.96</v>
      </c>
      <c r="Q24" s="85" t="s">
        <v>42</v>
      </c>
      <c r="R24" s="86" t="s">
        <v>42</v>
      </c>
      <c r="S24" s="140" t="s">
        <v>345</v>
      </c>
      <c r="T24" s="141"/>
      <c r="U24" s="2"/>
      <c r="V24" s="3"/>
    </row>
    <row r="25" spans="1:22" x14ac:dyDescent="0.2">
      <c r="A25" s="38">
        <v>5</v>
      </c>
      <c r="B25" s="38">
        <v>5210962</v>
      </c>
      <c r="C25" s="39" t="s">
        <v>74</v>
      </c>
      <c r="D25" s="40" t="s">
        <v>75</v>
      </c>
      <c r="E25" s="41" t="s">
        <v>74</v>
      </c>
      <c r="F25" s="39" t="s">
        <v>62</v>
      </c>
      <c r="G25" s="43">
        <v>500</v>
      </c>
      <c r="H25" s="42" t="s">
        <v>76</v>
      </c>
      <c r="I25" s="42"/>
      <c r="J25" s="51">
        <v>0</v>
      </c>
      <c r="K25" s="82">
        <v>12</v>
      </c>
      <c r="L25" s="82"/>
      <c r="M25" s="83">
        <v>2.08</v>
      </c>
      <c r="N25" s="84">
        <v>0</v>
      </c>
      <c r="O25" s="84">
        <v>0</v>
      </c>
      <c r="P25" s="52">
        <f t="shared" si="0"/>
        <v>24.96</v>
      </c>
      <c r="Q25" s="85" t="s">
        <v>42</v>
      </c>
      <c r="R25" s="86" t="s">
        <v>42</v>
      </c>
      <c r="S25" s="140" t="s">
        <v>345</v>
      </c>
      <c r="T25" s="141"/>
      <c r="U25" s="2"/>
      <c r="V25" s="3"/>
    </row>
    <row r="26" spans="1:22" x14ac:dyDescent="0.2">
      <c r="A26" s="38">
        <v>6</v>
      </c>
      <c r="B26" s="38">
        <v>5210456</v>
      </c>
      <c r="C26" s="39" t="s">
        <v>77</v>
      </c>
      <c r="D26" s="40" t="s">
        <v>78</v>
      </c>
      <c r="E26" s="41" t="s">
        <v>77</v>
      </c>
      <c r="F26" s="39" t="s">
        <v>79</v>
      </c>
      <c r="G26" s="43">
        <v>1</v>
      </c>
      <c r="H26" s="42" t="s">
        <v>80</v>
      </c>
      <c r="I26" s="42"/>
      <c r="J26" s="51">
        <v>0</v>
      </c>
      <c r="K26" s="82">
        <v>6</v>
      </c>
      <c r="L26" s="82"/>
      <c r="M26" s="83">
        <v>10.79</v>
      </c>
      <c r="N26" s="84">
        <v>0</v>
      </c>
      <c r="O26" s="84">
        <v>0</v>
      </c>
      <c r="P26" s="52">
        <f t="shared" si="0"/>
        <v>64.739999999999995</v>
      </c>
      <c r="Q26" s="85" t="s">
        <v>42</v>
      </c>
      <c r="R26" s="86" t="s">
        <v>42</v>
      </c>
      <c r="S26" s="140"/>
      <c r="T26" s="141"/>
      <c r="U26" s="2"/>
      <c r="V26" s="3"/>
    </row>
    <row r="27" spans="1:22" x14ac:dyDescent="0.2">
      <c r="A27" s="38">
        <v>7</v>
      </c>
      <c r="B27" s="38">
        <v>5210478</v>
      </c>
      <c r="C27" s="39" t="s">
        <v>81</v>
      </c>
      <c r="D27" s="40" t="s">
        <v>82</v>
      </c>
      <c r="E27" s="41" t="s">
        <v>81</v>
      </c>
      <c r="F27" s="39" t="s">
        <v>83</v>
      </c>
      <c r="G27" s="43">
        <v>1</v>
      </c>
      <c r="H27" s="42" t="s">
        <v>80</v>
      </c>
      <c r="I27" s="42"/>
      <c r="J27" s="51">
        <v>0</v>
      </c>
      <c r="K27" s="82">
        <v>1</v>
      </c>
      <c r="L27" s="82"/>
      <c r="M27" s="83">
        <v>32.479999999999997</v>
      </c>
      <c r="N27" s="84">
        <v>0</v>
      </c>
      <c r="O27" s="84">
        <v>0</v>
      </c>
      <c r="P27" s="52">
        <f t="shared" si="0"/>
        <v>32.479999999999997</v>
      </c>
      <c r="Q27" s="85" t="s">
        <v>42</v>
      </c>
      <c r="R27" s="86" t="s">
        <v>42</v>
      </c>
      <c r="S27" s="140" t="s">
        <v>347</v>
      </c>
      <c r="T27" s="141"/>
      <c r="U27" s="2"/>
      <c r="V27" s="3"/>
    </row>
    <row r="28" spans="1:22" x14ac:dyDescent="0.2">
      <c r="A28" s="38">
        <v>8</v>
      </c>
      <c r="B28" s="38">
        <v>5317838</v>
      </c>
      <c r="C28" s="39" t="s">
        <v>84</v>
      </c>
      <c r="D28" s="40" t="s">
        <v>85</v>
      </c>
      <c r="E28" s="41" t="s">
        <v>84</v>
      </c>
      <c r="F28" s="39" t="s">
        <v>86</v>
      </c>
      <c r="G28" s="43">
        <v>1</v>
      </c>
      <c r="H28" s="42" t="s">
        <v>66</v>
      </c>
      <c r="I28" s="42"/>
      <c r="J28" s="51">
        <v>0</v>
      </c>
      <c r="K28" s="82">
        <v>20</v>
      </c>
      <c r="L28" s="82"/>
      <c r="M28" s="83">
        <v>2.34</v>
      </c>
      <c r="N28" s="84">
        <v>0</v>
      </c>
      <c r="O28" s="84">
        <v>0</v>
      </c>
      <c r="P28" s="52">
        <f t="shared" si="0"/>
        <v>46.8</v>
      </c>
      <c r="Q28" s="85" t="s">
        <v>42</v>
      </c>
      <c r="R28" s="86" t="s">
        <v>42</v>
      </c>
      <c r="S28" s="140"/>
      <c r="T28" s="141"/>
      <c r="U28" s="2"/>
      <c r="V28" s="3"/>
    </row>
    <row r="29" spans="1:22" x14ac:dyDescent="0.2">
      <c r="A29" s="38">
        <v>9</v>
      </c>
      <c r="B29" s="38">
        <v>5210536</v>
      </c>
      <c r="C29" s="39" t="s">
        <v>87</v>
      </c>
      <c r="D29" s="40" t="s">
        <v>88</v>
      </c>
      <c r="E29" s="41" t="s">
        <v>87</v>
      </c>
      <c r="F29" s="39" t="s">
        <v>86</v>
      </c>
      <c r="G29" s="43">
        <v>1</v>
      </c>
      <c r="H29" s="42" t="s">
        <v>66</v>
      </c>
      <c r="I29" s="42"/>
      <c r="J29" s="51">
        <v>0</v>
      </c>
      <c r="K29" s="82">
        <v>30</v>
      </c>
      <c r="L29" s="82"/>
      <c r="M29" s="83">
        <v>2.34</v>
      </c>
      <c r="N29" s="84">
        <v>0</v>
      </c>
      <c r="O29" s="84">
        <v>0</v>
      </c>
      <c r="P29" s="52">
        <f t="shared" si="0"/>
        <v>70.2</v>
      </c>
      <c r="Q29" s="85" t="s">
        <v>42</v>
      </c>
      <c r="R29" s="86" t="s">
        <v>42</v>
      </c>
      <c r="S29" s="140"/>
      <c r="T29" s="141"/>
      <c r="U29" s="2"/>
      <c r="V29" s="3"/>
    </row>
    <row r="30" spans="1:22" x14ac:dyDescent="0.2">
      <c r="A30" s="38">
        <v>10</v>
      </c>
      <c r="B30" s="38">
        <v>5210538</v>
      </c>
      <c r="C30" s="39" t="s">
        <v>89</v>
      </c>
      <c r="D30" s="40" t="s">
        <v>90</v>
      </c>
      <c r="E30" s="41" t="s">
        <v>89</v>
      </c>
      <c r="F30" s="39" t="s">
        <v>86</v>
      </c>
      <c r="G30" s="43">
        <v>1</v>
      </c>
      <c r="H30" s="42" t="s">
        <v>66</v>
      </c>
      <c r="I30" s="42"/>
      <c r="J30" s="51">
        <v>0</v>
      </c>
      <c r="K30" s="82">
        <v>5</v>
      </c>
      <c r="L30" s="82"/>
      <c r="M30" s="83">
        <v>8.06</v>
      </c>
      <c r="N30" s="84">
        <v>0</v>
      </c>
      <c r="O30" s="84">
        <v>0</v>
      </c>
      <c r="P30" s="52">
        <f t="shared" si="0"/>
        <v>40.299999999999997</v>
      </c>
      <c r="Q30" s="85" t="s">
        <v>42</v>
      </c>
      <c r="R30" s="86" t="s">
        <v>42</v>
      </c>
      <c r="S30" s="140"/>
      <c r="T30" s="141"/>
      <c r="U30" s="2"/>
      <c r="V30" s="3"/>
    </row>
    <row r="31" spans="1:22" x14ac:dyDescent="0.2">
      <c r="A31" s="38">
        <v>11</v>
      </c>
      <c r="B31" s="38">
        <v>5210544</v>
      </c>
      <c r="C31" s="39" t="s">
        <v>91</v>
      </c>
      <c r="D31" s="40" t="s">
        <v>92</v>
      </c>
      <c r="E31" s="41" t="s">
        <v>91</v>
      </c>
      <c r="F31" s="39" t="s">
        <v>86</v>
      </c>
      <c r="G31" s="43">
        <v>1</v>
      </c>
      <c r="H31" s="42" t="s">
        <v>66</v>
      </c>
      <c r="I31" s="42"/>
      <c r="J31" s="51">
        <v>0</v>
      </c>
      <c r="K31" s="82">
        <v>30</v>
      </c>
      <c r="L31" s="82"/>
      <c r="M31" s="83">
        <v>2.74</v>
      </c>
      <c r="N31" s="84">
        <v>0</v>
      </c>
      <c r="O31" s="84">
        <v>0</v>
      </c>
      <c r="P31" s="52">
        <f t="shared" si="0"/>
        <v>82.2</v>
      </c>
      <c r="Q31" s="85" t="s">
        <v>42</v>
      </c>
      <c r="R31" s="86" t="s">
        <v>42</v>
      </c>
      <c r="S31" s="140"/>
      <c r="T31" s="141"/>
      <c r="U31" s="2"/>
      <c r="V31" s="3"/>
    </row>
    <row r="32" spans="1:22" x14ac:dyDescent="0.2">
      <c r="A32" s="38">
        <v>12</v>
      </c>
      <c r="B32" s="38">
        <v>5210589</v>
      </c>
      <c r="C32" s="39" t="s">
        <v>93</v>
      </c>
      <c r="D32" s="40" t="s">
        <v>94</v>
      </c>
      <c r="E32" s="41" t="s">
        <v>93</v>
      </c>
      <c r="F32" s="39" t="s">
        <v>86</v>
      </c>
      <c r="G32" s="43">
        <v>1</v>
      </c>
      <c r="H32" s="42" t="s">
        <v>66</v>
      </c>
      <c r="I32" s="42"/>
      <c r="J32" s="51">
        <v>0</v>
      </c>
      <c r="K32" s="82">
        <v>20</v>
      </c>
      <c r="L32" s="82"/>
      <c r="M32" s="83">
        <v>0</v>
      </c>
      <c r="N32" s="84">
        <v>0</v>
      </c>
      <c r="O32" s="84">
        <v>0</v>
      </c>
      <c r="P32" s="52">
        <f t="shared" si="0"/>
        <v>0</v>
      </c>
      <c r="Q32" s="85" t="s">
        <v>42</v>
      </c>
      <c r="R32" s="86" t="s">
        <v>42</v>
      </c>
      <c r="S32" s="140" t="s">
        <v>339</v>
      </c>
      <c r="T32" s="141"/>
      <c r="U32" s="2"/>
      <c r="V32" s="3"/>
    </row>
    <row r="33" spans="1:22" x14ac:dyDescent="0.2">
      <c r="A33" s="38">
        <v>13</v>
      </c>
      <c r="B33" s="38">
        <v>5317256</v>
      </c>
      <c r="C33" s="39" t="s">
        <v>95</v>
      </c>
      <c r="D33" s="40" t="s">
        <v>96</v>
      </c>
      <c r="E33" s="41" t="s">
        <v>95</v>
      </c>
      <c r="F33" s="39" t="s">
        <v>86</v>
      </c>
      <c r="G33" s="43">
        <v>1</v>
      </c>
      <c r="H33" s="42" t="s">
        <v>66</v>
      </c>
      <c r="I33" s="42"/>
      <c r="J33" s="51">
        <v>0</v>
      </c>
      <c r="K33" s="82">
        <v>15</v>
      </c>
      <c r="L33" s="82"/>
      <c r="M33" s="83">
        <v>6.45</v>
      </c>
      <c r="N33" s="84">
        <v>0</v>
      </c>
      <c r="O33" s="84">
        <v>0</v>
      </c>
      <c r="P33" s="52">
        <f t="shared" si="0"/>
        <v>96.75</v>
      </c>
      <c r="Q33" s="85" t="s">
        <v>42</v>
      </c>
      <c r="R33" s="86" t="s">
        <v>42</v>
      </c>
      <c r="S33" s="140"/>
      <c r="T33" s="141"/>
      <c r="U33" s="2"/>
      <c r="V33" s="3"/>
    </row>
    <row r="34" spans="1:22" x14ac:dyDescent="0.2">
      <c r="A34" s="38">
        <v>14</v>
      </c>
      <c r="B34" s="38">
        <v>6807270</v>
      </c>
      <c r="C34" s="39" t="s">
        <v>97</v>
      </c>
      <c r="D34" s="40" t="s">
        <v>98</v>
      </c>
      <c r="E34" s="41" t="s">
        <v>97</v>
      </c>
      <c r="F34" s="39" t="s">
        <v>86</v>
      </c>
      <c r="G34" s="43">
        <v>1</v>
      </c>
      <c r="H34" s="42" t="s">
        <v>66</v>
      </c>
      <c r="I34" s="42"/>
      <c r="J34" s="51">
        <v>0</v>
      </c>
      <c r="K34" s="82">
        <v>10</v>
      </c>
      <c r="L34" s="82"/>
      <c r="M34" s="83">
        <v>10.83</v>
      </c>
      <c r="N34" s="84">
        <v>0</v>
      </c>
      <c r="O34" s="84">
        <v>0</v>
      </c>
      <c r="P34" s="52">
        <f t="shared" si="0"/>
        <v>108.3</v>
      </c>
      <c r="Q34" s="85" t="s">
        <v>42</v>
      </c>
      <c r="R34" s="86" t="s">
        <v>42</v>
      </c>
      <c r="S34" s="140" t="s">
        <v>348</v>
      </c>
      <c r="T34" s="141"/>
      <c r="U34" s="2"/>
      <c r="V34" s="3"/>
    </row>
    <row r="35" spans="1:22" x14ac:dyDescent="0.2">
      <c r="A35" s="38">
        <v>15</v>
      </c>
      <c r="B35" s="38">
        <v>5210661</v>
      </c>
      <c r="C35" s="39" t="s">
        <v>99</v>
      </c>
      <c r="D35" s="40" t="s">
        <v>100</v>
      </c>
      <c r="E35" s="41" t="s">
        <v>99</v>
      </c>
      <c r="F35" s="39" t="s">
        <v>86</v>
      </c>
      <c r="G35" s="43">
        <v>1</v>
      </c>
      <c r="H35" s="42" t="s">
        <v>66</v>
      </c>
      <c r="I35" s="42"/>
      <c r="J35" s="51">
        <v>0</v>
      </c>
      <c r="K35" s="82">
        <v>10</v>
      </c>
      <c r="L35" s="82"/>
      <c r="M35" s="83">
        <v>5.81</v>
      </c>
      <c r="N35" s="84">
        <v>0</v>
      </c>
      <c r="O35" s="84">
        <v>0</v>
      </c>
      <c r="P35" s="52">
        <f t="shared" si="0"/>
        <v>58.1</v>
      </c>
      <c r="Q35" s="85" t="s">
        <v>42</v>
      </c>
      <c r="R35" s="86" t="s">
        <v>42</v>
      </c>
      <c r="S35" s="140"/>
      <c r="T35" s="141"/>
      <c r="U35" s="2"/>
      <c r="V35" s="3"/>
    </row>
    <row r="36" spans="1:22" x14ac:dyDescent="0.2">
      <c r="A36" s="38">
        <v>16</v>
      </c>
      <c r="B36" s="38">
        <v>5210672</v>
      </c>
      <c r="C36" s="39" t="s">
        <v>101</v>
      </c>
      <c r="D36" s="40" t="s">
        <v>102</v>
      </c>
      <c r="E36" s="41" t="s">
        <v>101</v>
      </c>
      <c r="F36" s="39" t="s">
        <v>86</v>
      </c>
      <c r="G36" s="43">
        <v>1</v>
      </c>
      <c r="H36" s="42" t="s">
        <v>66</v>
      </c>
      <c r="I36" s="42"/>
      <c r="J36" s="51">
        <v>0</v>
      </c>
      <c r="K36" s="82">
        <v>20</v>
      </c>
      <c r="L36" s="82"/>
      <c r="M36" s="83">
        <v>2.58</v>
      </c>
      <c r="N36" s="84">
        <v>0</v>
      </c>
      <c r="O36" s="84">
        <v>0</v>
      </c>
      <c r="P36" s="52">
        <f t="shared" si="0"/>
        <v>51.6</v>
      </c>
      <c r="Q36" s="85" t="s">
        <v>42</v>
      </c>
      <c r="R36" s="86" t="s">
        <v>42</v>
      </c>
      <c r="S36" s="140"/>
      <c r="T36" s="141"/>
      <c r="U36" s="2"/>
      <c r="V36" s="3"/>
    </row>
    <row r="37" spans="1:22" x14ac:dyDescent="0.2">
      <c r="A37" s="38">
        <v>17</v>
      </c>
      <c r="B37" s="38">
        <v>5210532</v>
      </c>
      <c r="C37" s="39" t="s">
        <v>103</v>
      </c>
      <c r="D37" s="40" t="s">
        <v>104</v>
      </c>
      <c r="E37" s="41" t="s">
        <v>103</v>
      </c>
      <c r="F37" s="39" t="s">
        <v>86</v>
      </c>
      <c r="G37" s="43">
        <v>1</v>
      </c>
      <c r="H37" s="42" t="s">
        <v>66</v>
      </c>
      <c r="I37" s="42"/>
      <c r="J37" s="51">
        <v>0</v>
      </c>
      <c r="K37" s="82">
        <v>20</v>
      </c>
      <c r="L37" s="82"/>
      <c r="M37" s="83">
        <v>4.46</v>
      </c>
      <c r="N37" s="84">
        <v>0</v>
      </c>
      <c r="O37" s="84">
        <v>0</v>
      </c>
      <c r="P37" s="52">
        <f t="shared" si="0"/>
        <v>89.2</v>
      </c>
      <c r="Q37" s="85" t="s">
        <v>42</v>
      </c>
      <c r="R37" s="86" t="s">
        <v>42</v>
      </c>
      <c r="S37" s="140"/>
      <c r="T37" s="141"/>
      <c r="U37" s="2"/>
      <c r="V37" s="3"/>
    </row>
    <row r="38" spans="1:22" x14ac:dyDescent="0.2">
      <c r="A38" s="38">
        <v>18</v>
      </c>
      <c r="B38" s="38">
        <v>5210692</v>
      </c>
      <c r="C38" s="39" t="s">
        <v>105</v>
      </c>
      <c r="D38" s="40" t="s">
        <v>106</v>
      </c>
      <c r="E38" s="41" t="s">
        <v>105</v>
      </c>
      <c r="F38" s="39" t="s">
        <v>86</v>
      </c>
      <c r="G38" s="43">
        <v>1</v>
      </c>
      <c r="H38" s="42" t="s">
        <v>66</v>
      </c>
      <c r="I38" s="42"/>
      <c r="J38" s="51">
        <v>0</v>
      </c>
      <c r="K38" s="82">
        <v>40</v>
      </c>
      <c r="L38" s="82"/>
      <c r="M38" s="83">
        <v>2.2599999999999998</v>
      </c>
      <c r="N38" s="84">
        <v>0</v>
      </c>
      <c r="O38" s="84">
        <v>0</v>
      </c>
      <c r="P38" s="52">
        <f t="shared" si="0"/>
        <v>90.4</v>
      </c>
      <c r="Q38" s="85" t="s">
        <v>42</v>
      </c>
      <c r="R38" s="86" t="s">
        <v>42</v>
      </c>
      <c r="S38" s="140"/>
      <c r="T38" s="141"/>
      <c r="U38" s="2"/>
      <c r="V38" s="3"/>
    </row>
    <row r="39" spans="1:22" x14ac:dyDescent="0.2">
      <c r="A39" s="38">
        <v>19</v>
      </c>
      <c r="B39" s="38">
        <v>5210701</v>
      </c>
      <c r="C39" s="39" t="s">
        <v>107</v>
      </c>
      <c r="D39" s="40" t="s">
        <v>108</v>
      </c>
      <c r="E39" s="41" t="s">
        <v>107</v>
      </c>
      <c r="F39" s="39" t="s">
        <v>86</v>
      </c>
      <c r="G39" s="43">
        <v>1</v>
      </c>
      <c r="H39" s="42" t="s">
        <v>66</v>
      </c>
      <c r="I39" s="42"/>
      <c r="J39" s="51">
        <v>0</v>
      </c>
      <c r="K39" s="82">
        <v>20</v>
      </c>
      <c r="L39" s="82"/>
      <c r="M39" s="83">
        <v>2.9</v>
      </c>
      <c r="N39" s="84">
        <v>0</v>
      </c>
      <c r="O39" s="84">
        <v>0</v>
      </c>
      <c r="P39" s="52">
        <f t="shared" si="0"/>
        <v>58</v>
      </c>
      <c r="Q39" s="85" t="s">
        <v>42</v>
      </c>
      <c r="R39" s="86" t="s">
        <v>42</v>
      </c>
      <c r="S39" s="140"/>
      <c r="T39" s="141"/>
      <c r="U39" s="2"/>
      <c r="V39" s="3"/>
    </row>
    <row r="40" spans="1:22" x14ac:dyDescent="0.2">
      <c r="A40" s="38">
        <v>20</v>
      </c>
      <c r="B40" s="38">
        <v>5210767</v>
      </c>
      <c r="C40" s="39" t="s">
        <v>109</v>
      </c>
      <c r="D40" s="40" t="s">
        <v>110</v>
      </c>
      <c r="E40" s="41" t="s">
        <v>109</v>
      </c>
      <c r="F40" s="39" t="s">
        <v>86</v>
      </c>
      <c r="G40" s="43">
        <v>1</v>
      </c>
      <c r="H40" s="42" t="s">
        <v>66</v>
      </c>
      <c r="I40" s="42"/>
      <c r="J40" s="51">
        <v>0</v>
      </c>
      <c r="K40" s="82">
        <v>5</v>
      </c>
      <c r="L40" s="82"/>
      <c r="M40" s="83">
        <v>12.19</v>
      </c>
      <c r="N40" s="84">
        <v>0</v>
      </c>
      <c r="O40" s="84">
        <v>0</v>
      </c>
      <c r="P40" s="52">
        <f t="shared" si="0"/>
        <v>60.95</v>
      </c>
      <c r="Q40" s="85" t="s">
        <v>42</v>
      </c>
      <c r="R40" s="86" t="s">
        <v>42</v>
      </c>
      <c r="S40" s="140"/>
      <c r="T40" s="141"/>
      <c r="U40" s="2"/>
      <c r="V40" s="3"/>
    </row>
    <row r="41" spans="1:22" x14ac:dyDescent="0.2">
      <c r="A41" s="38">
        <v>21</v>
      </c>
      <c r="B41" s="38">
        <v>5210771</v>
      </c>
      <c r="C41" s="39" t="s">
        <v>111</v>
      </c>
      <c r="D41" s="40" t="s">
        <v>112</v>
      </c>
      <c r="E41" s="41" t="s">
        <v>111</v>
      </c>
      <c r="F41" s="39" t="s">
        <v>86</v>
      </c>
      <c r="G41" s="43">
        <v>1</v>
      </c>
      <c r="H41" s="42" t="s">
        <v>66</v>
      </c>
      <c r="I41" s="42"/>
      <c r="J41" s="51">
        <v>0</v>
      </c>
      <c r="K41" s="82">
        <v>20</v>
      </c>
      <c r="L41" s="82"/>
      <c r="M41" s="83">
        <v>4.5199999999999996</v>
      </c>
      <c r="N41" s="84">
        <v>0</v>
      </c>
      <c r="O41" s="84">
        <v>0</v>
      </c>
      <c r="P41" s="52">
        <f t="shared" si="0"/>
        <v>90.4</v>
      </c>
      <c r="Q41" s="85" t="s">
        <v>42</v>
      </c>
      <c r="R41" s="86" t="s">
        <v>42</v>
      </c>
      <c r="S41" s="140"/>
      <c r="T41" s="141"/>
      <c r="U41" s="2"/>
      <c r="V41" s="3"/>
    </row>
    <row r="42" spans="1:22" x14ac:dyDescent="0.2">
      <c r="A42" s="38">
        <v>22</v>
      </c>
      <c r="B42" s="38">
        <v>5210788</v>
      </c>
      <c r="C42" s="39" t="s">
        <v>113</v>
      </c>
      <c r="D42" s="40" t="s">
        <v>114</v>
      </c>
      <c r="E42" s="41" t="s">
        <v>113</v>
      </c>
      <c r="F42" s="39" t="s">
        <v>86</v>
      </c>
      <c r="G42" s="43">
        <v>1</v>
      </c>
      <c r="H42" s="42" t="s">
        <v>66</v>
      </c>
      <c r="I42" s="42"/>
      <c r="J42" s="51">
        <v>0</v>
      </c>
      <c r="K42" s="82">
        <v>20</v>
      </c>
      <c r="L42" s="82"/>
      <c r="M42" s="83">
        <v>4.1900000000000004</v>
      </c>
      <c r="N42" s="84">
        <v>0</v>
      </c>
      <c r="O42" s="84">
        <v>0</v>
      </c>
      <c r="P42" s="52">
        <f t="shared" si="0"/>
        <v>83.8</v>
      </c>
      <c r="Q42" s="85" t="s">
        <v>42</v>
      </c>
      <c r="R42" s="86" t="s">
        <v>42</v>
      </c>
      <c r="S42" s="140"/>
      <c r="T42" s="141"/>
      <c r="U42" s="2"/>
      <c r="V42" s="3"/>
    </row>
    <row r="43" spans="1:22" x14ac:dyDescent="0.2">
      <c r="A43" s="38">
        <v>23</v>
      </c>
      <c r="B43" s="38">
        <v>5210537</v>
      </c>
      <c r="C43" s="39" t="s">
        <v>115</v>
      </c>
      <c r="D43" s="40" t="s">
        <v>116</v>
      </c>
      <c r="E43" s="41" t="s">
        <v>115</v>
      </c>
      <c r="F43" s="39" t="s">
        <v>86</v>
      </c>
      <c r="G43" s="43">
        <v>1</v>
      </c>
      <c r="H43" s="42" t="s">
        <v>66</v>
      </c>
      <c r="I43" s="42"/>
      <c r="J43" s="51">
        <v>0</v>
      </c>
      <c r="K43" s="82">
        <v>5</v>
      </c>
      <c r="L43" s="82"/>
      <c r="M43" s="83">
        <v>11.52</v>
      </c>
      <c r="N43" s="84">
        <v>0</v>
      </c>
      <c r="O43" s="84">
        <v>0</v>
      </c>
      <c r="P43" s="52">
        <f t="shared" si="0"/>
        <v>57.6</v>
      </c>
      <c r="Q43" s="85" t="s">
        <v>42</v>
      </c>
      <c r="R43" s="86" t="s">
        <v>42</v>
      </c>
      <c r="S43" s="140"/>
      <c r="T43" s="141"/>
      <c r="U43" s="2"/>
      <c r="V43" s="3"/>
    </row>
    <row r="44" spans="1:22" x14ac:dyDescent="0.2">
      <c r="A44" s="38">
        <v>24</v>
      </c>
      <c r="B44" s="38">
        <v>5210571</v>
      </c>
      <c r="C44" s="39" t="s">
        <v>117</v>
      </c>
      <c r="D44" s="40" t="s">
        <v>118</v>
      </c>
      <c r="E44" s="41" t="s">
        <v>117</v>
      </c>
      <c r="F44" s="39" t="s">
        <v>86</v>
      </c>
      <c r="G44" s="43">
        <v>1</v>
      </c>
      <c r="H44" s="42" t="s">
        <v>66</v>
      </c>
      <c r="I44" s="42"/>
      <c r="J44" s="51">
        <v>0</v>
      </c>
      <c r="K44" s="82">
        <v>5</v>
      </c>
      <c r="L44" s="82"/>
      <c r="M44" s="83">
        <v>1.94</v>
      </c>
      <c r="N44" s="84">
        <v>0</v>
      </c>
      <c r="O44" s="84">
        <v>0</v>
      </c>
      <c r="P44" s="52">
        <f t="shared" si="0"/>
        <v>9.6999999999999993</v>
      </c>
      <c r="Q44" s="85" t="s">
        <v>42</v>
      </c>
      <c r="R44" s="86" t="s">
        <v>42</v>
      </c>
      <c r="S44" s="140"/>
      <c r="T44" s="141"/>
      <c r="U44" s="2"/>
      <c r="V44" s="3"/>
    </row>
    <row r="45" spans="1:22" x14ac:dyDescent="0.2">
      <c r="A45" s="38">
        <v>25</v>
      </c>
      <c r="B45" s="38">
        <v>5210574</v>
      </c>
      <c r="C45" s="39" t="s">
        <v>119</v>
      </c>
      <c r="D45" s="40" t="s">
        <v>120</v>
      </c>
      <c r="E45" s="41" t="s">
        <v>119</v>
      </c>
      <c r="F45" s="39" t="s">
        <v>86</v>
      </c>
      <c r="G45" s="43">
        <v>1</v>
      </c>
      <c r="H45" s="42" t="s">
        <v>66</v>
      </c>
      <c r="I45" s="42"/>
      <c r="J45" s="51">
        <v>0</v>
      </c>
      <c r="K45" s="82">
        <v>5</v>
      </c>
      <c r="L45" s="82"/>
      <c r="M45" s="83">
        <v>0</v>
      </c>
      <c r="N45" s="84">
        <v>0</v>
      </c>
      <c r="O45" s="84">
        <v>0</v>
      </c>
      <c r="P45" s="52">
        <f t="shared" si="0"/>
        <v>0</v>
      </c>
      <c r="Q45" s="85" t="s">
        <v>42</v>
      </c>
      <c r="R45" s="86" t="s">
        <v>42</v>
      </c>
      <c r="S45" s="140" t="s">
        <v>339</v>
      </c>
      <c r="T45" s="141"/>
      <c r="U45" s="2"/>
      <c r="V45" s="3"/>
    </row>
    <row r="46" spans="1:22" x14ac:dyDescent="0.2">
      <c r="A46" s="38">
        <v>26</v>
      </c>
      <c r="B46" s="38">
        <v>5210578</v>
      </c>
      <c r="C46" s="39" t="s">
        <v>121</v>
      </c>
      <c r="D46" s="40" t="s">
        <v>122</v>
      </c>
      <c r="E46" s="41" t="s">
        <v>121</v>
      </c>
      <c r="F46" s="39" t="s">
        <v>86</v>
      </c>
      <c r="G46" s="43">
        <v>1</v>
      </c>
      <c r="H46" s="42" t="s">
        <v>66</v>
      </c>
      <c r="I46" s="42"/>
      <c r="J46" s="51">
        <v>0</v>
      </c>
      <c r="K46" s="82">
        <v>15</v>
      </c>
      <c r="L46" s="82"/>
      <c r="M46" s="83">
        <v>7.74</v>
      </c>
      <c r="N46" s="84">
        <v>0</v>
      </c>
      <c r="O46" s="84">
        <v>0</v>
      </c>
      <c r="P46" s="52">
        <f t="shared" si="0"/>
        <v>116.1</v>
      </c>
      <c r="Q46" s="85" t="s">
        <v>42</v>
      </c>
      <c r="R46" s="86" t="s">
        <v>42</v>
      </c>
      <c r="S46" s="140" t="s">
        <v>346</v>
      </c>
      <c r="T46" s="141"/>
      <c r="U46" s="2"/>
      <c r="V46" s="3"/>
    </row>
    <row r="47" spans="1:22" x14ac:dyDescent="0.2">
      <c r="A47" s="38">
        <v>27</v>
      </c>
      <c r="B47" s="38">
        <v>5210582</v>
      </c>
      <c r="C47" s="39" t="s">
        <v>123</v>
      </c>
      <c r="D47" s="40" t="s">
        <v>124</v>
      </c>
      <c r="E47" s="41" t="s">
        <v>123</v>
      </c>
      <c r="F47" s="39" t="s">
        <v>86</v>
      </c>
      <c r="G47" s="43">
        <v>1</v>
      </c>
      <c r="H47" s="42" t="s">
        <v>66</v>
      </c>
      <c r="I47" s="42"/>
      <c r="J47" s="51">
        <v>0</v>
      </c>
      <c r="K47" s="82">
        <v>10</v>
      </c>
      <c r="L47" s="82"/>
      <c r="M47" s="83">
        <v>2.58</v>
      </c>
      <c r="N47" s="84">
        <v>0</v>
      </c>
      <c r="O47" s="84">
        <v>0</v>
      </c>
      <c r="P47" s="52">
        <f t="shared" si="0"/>
        <v>25.8</v>
      </c>
      <c r="Q47" s="85" t="s">
        <v>42</v>
      </c>
      <c r="R47" s="86" t="s">
        <v>42</v>
      </c>
      <c r="S47" s="140"/>
      <c r="T47" s="141"/>
      <c r="U47" s="2"/>
      <c r="V47" s="3"/>
    </row>
    <row r="48" spans="1:22" x14ac:dyDescent="0.2">
      <c r="A48" s="38">
        <v>28</v>
      </c>
      <c r="B48" s="38">
        <v>5210827</v>
      </c>
      <c r="C48" s="39" t="s">
        <v>125</v>
      </c>
      <c r="D48" s="40" t="s">
        <v>126</v>
      </c>
      <c r="E48" s="41" t="s">
        <v>125</v>
      </c>
      <c r="F48" s="39" t="s">
        <v>86</v>
      </c>
      <c r="G48" s="43">
        <v>1</v>
      </c>
      <c r="H48" s="42" t="s">
        <v>66</v>
      </c>
      <c r="I48" s="42"/>
      <c r="J48" s="51">
        <v>0</v>
      </c>
      <c r="K48" s="82">
        <v>10</v>
      </c>
      <c r="L48" s="82"/>
      <c r="M48" s="83">
        <v>2.9</v>
      </c>
      <c r="N48" s="84">
        <v>0</v>
      </c>
      <c r="O48" s="84">
        <v>0</v>
      </c>
      <c r="P48" s="52">
        <f t="shared" si="0"/>
        <v>29</v>
      </c>
      <c r="Q48" s="85" t="s">
        <v>42</v>
      </c>
      <c r="R48" s="86" t="s">
        <v>42</v>
      </c>
      <c r="S48" s="140"/>
      <c r="T48" s="141"/>
      <c r="U48" s="2"/>
      <c r="V48" s="3"/>
    </row>
    <row r="49" spans="1:22" x14ac:dyDescent="0.2">
      <c r="A49" s="38">
        <v>29</v>
      </c>
      <c r="B49" s="38">
        <v>5210588</v>
      </c>
      <c r="C49" s="39" t="s">
        <v>127</v>
      </c>
      <c r="D49" s="40" t="s">
        <v>128</v>
      </c>
      <c r="E49" s="41" t="s">
        <v>127</v>
      </c>
      <c r="F49" s="39" t="s">
        <v>86</v>
      </c>
      <c r="G49" s="43">
        <v>1</v>
      </c>
      <c r="H49" s="42" t="s">
        <v>66</v>
      </c>
      <c r="I49" s="42"/>
      <c r="J49" s="51">
        <v>0</v>
      </c>
      <c r="K49" s="82">
        <v>20</v>
      </c>
      <c r="L49" s="82"/>
      <c r="M49" s="83">
        <v>1.29</v>
      </c>
      <c r="N49" s="84">
        <v>0</v>
      </c>
      <c r="O49" s="84">
        <v>0</v>
      </c>
      <c r="P49" s="52">
        <f t="shared" si="0"/>
        <v>25.8</v>
      </c>
      <c r="Q49" s="85" t="s">
        <v>42</v>
      </c>
      <c r="R49" s="86" t="s">
        <v>42</v>
      </c>
      <c r="S49" s="140"/>
      <c r="T49" s="141"/>
      <c r="U49" s="2"/>
      <c r="V49" s="3"/>
    </row>
    <row r="50" spans="1:22" x14ac:dyDescent="0.2">
      <c r="A50" s="38">
        <v>30</v>
      </c>
      <c r="B50" s="38">
        <v>5210591</v>
      </c>
      <c r="C50" s="39" t="s">
        <v>129</v>
      </c>
      <c r="D50" s="40" t="s">
        <v>130</v>
      </c>
      <c r="E50" s="41" t="s">
        <v>129</v>
      </c>
      <c r="F50" s="39" t="s">
        <v>86</v>
      </c>
      <c r="G50" s="43">
        <v>1</v>
      </c>
      <c r="H50" s="42" t="s">
        <v>66</v>
      </c>
      <c r="I50" s="42"/>
      <c r="J50" s="51">
        <v>0</v>
      </c>
      <c r="K50" s="82">
        <v>20</v>
      </c>
      <c r="L50" s="82"/>
      <c r="M50" s="83">
        <v>1.1299999999999999</v>
      </c>
      <c r="N50" s="84">
        <v>0</v>
      </c>
      <c r="O50" s="84">
        <v>0</v>
      </c>
      <c r="P50" s="52">
        <f t="shared" si="0"/>
        <v>22.6</v>
      </c>
      <c r="Q50" s="85" t="s">
        <v>42</v>
      </c>
      <c r="R50" s="86" t="s">
        <v>42</v>
      </c>
      <c r="S50" s="140"/>
      <c r="T50" s="141"/>
      <c r="U50" s="2"/>
      <c r="V50" s="3"/>
    </row>
    <row r="51" spans="1:22" x14ac:dyDescent="0.2">
      <c r="A51" s="38">
        <v>31</v>
      </c>
      <c r="B51" s="38">
        <v>5210594</v>
      </c>
      <c r="C51" s="39" t="s">
        <v>131</v>
      </c>
      <c r="D51" s="40" t="s">
        <v>132</v>
      </c>
      <c r="E51" s="41" t="s">
        <v>131</v>
      </c>
      <c r="F51" s="39" t="s">
        <v>86</v>
      </c>
      <c r="G51" s="43">
        <v>1</v>
      </c>
      <c r="H51" s="42" t="s">
        <v>66</v>
      </c>
      <c r="I51" s="42"/>
      <c r="J51" s="51">
        <v>0</v>
      </c>
      <c r="K51" s="82">
        <v>15</v>
      </c>
      <c r="L51" s="82"/>
      <c r="M51" s="83">
        <v>1.94</v>
      </c>
      <c r="N51" s="84">
        <v>0</v>
      </c>
      <c r="O51" s="84">
        <v>0</v>
      </c>
      <c r="P51" s="52">
        <f t="shared" si="0"/>
        <v>29.1</v>
      </c>
      <c r="Q51" s="85" t="s">
        <v>42</v>
      </c>
      <c r="R51" s="86" t="s">
        <v>42</v>
      </c>
      <c r="S51" s="140"/>
      <c r="T51" s="141"/>
      <c r="U51" s="2"/>
      <c r="V51" s="3"/>
    </row>
    <row r="52" spans="1:22" x14ac:dyDescent="0.2">
      <c r="A52" s="38">
        <v>32</v>
      </c>
      <c r="B52" s="38">
        <v>5210596</v>
      </c>
      <c r="C52" s="39" t="s">
        <v>133</v>
      </c>
      <c r="D52" s="40" t="s">
        <v>134</v>
      </c>
      <c r="E52" s="41" t="s">
        <v>133</v>
      </c>
      <c r="F52" s="39" t="s">
        <v>86</v>
      </c>
      <c r="G52" s="43">
        <v>1</v>
      </c>
      <c r="H52" s="42" t="s">
        <v>66</v>
      </c>
      <c r="I52" s="42"/>
      <c r="J52" s="51">
        <v>0</v>
      </c>
      <c r="K52" s="82">
        <v>5</v>
      </c>
      <c r="L52" s="82"/>
      <c r="M52" s="83">
        <v>1.29</v>
      </c>
      <c r="N52" s="84">
        <v>0</v>
      </c>
      <c r="O52" s="84">
        <v>0</v>
      </c>
      <c r="P52" s="52">
        <f t="shared" si="0"/>
        <v>6.45</v>
      </c>
      <c r="Q52" s="85" t="s">
        <v>42</v>
      </c>
      <c r="R52" s="86" t="s">
        <v>42</v>
      </c>
      <c r="S52" s="140"/>
      <c r="T52" s="141"/>
      <c r="U52" s="2"/>
      <c r="V52" s="3"/>
    </row>
    <row r="53" spans="1:22" x14ac:dyDescent="0.2">
      <c r="A53" s="38">
        <v>33</v>
      </c>
      <c r="B53" s="38">
        <v>5210597</v>
      </c>
      <c r="C53" s="39" t="s">
        <v>135</v>
      </c>
      <c r="D53" s="40" t="s">
        <v>136</v>
      </c>
      <c r="E53" s="41" t="s">
        <v>135</v>
      </c>
      <c r="F53" s="39" t="s">
        <v>86</v>
      </c>
      <c r="G53" s="43">
        <v>1</v>
      </c>
      <c r="H53" s="42" t="s">
        <v>66</v>
      </c>
      <c r="I53" s="42"/>
      <c r="J53" s="51">
        <v>0</v>
      </c>
      <c r="K53" s="82">
        <v>10</v>
      </c>
      <c r="L53" s="82"/>
      <c r="M53" s="83">
        <v>0</v>
      </c>
      <c r="N53" s="84">
        <v>0</v>
      </c>
      <c r="O53" s="84">
        <v>0</v>
      </c>
      <c r="P53" s="52">
        <f t="shared" ref="P53:P70" si="1">ROUND(((K53*M53) - (K53*M53*N53/100)) + (((K53*M53) - (K53*M53*N53/100)) * O53/100), 4)</f>
        <v>0</v>
      </c>
      <c r="Q53" s="85" t="s">
        <v>42</v>
      </c>
      <c r="R53" s="86" t="s">
        <v>42</v>
      </c>
      <c r="S53" s="140" t="s">
        <v>339</v>
      </c>
      <c r="T53" s="141"/>
      <c r="U53" s="2"/>
      <c r="V53" s="3"/>
    </row>
    <row r="54" spans="1:22" x14ac:dyDescent="0.2">
      <c r="A54" s="38">
        <v>34</v>
      </c>
      <c r="B54" s="38">
        <v>5210622</v>
      </c>
      <c r="C54" s="39" t="s">
        <v>137</v>
      </c>
      <c r="D54" s="40" t="s">
        <v>138</v>
      </c>
      <c r="E54" s="41" t="s">
        <v>137</v>
      </c>
      <c r="F54" s="39" t="s">
        <v>86</v>
      </c>
      <c r="G54" s="43">
        <v>1</v>
      </c>
      <c r="H54" s="42" t="s">
        <v>66</v>
      </c>
      <c r="I54" s="42"/>
      <c r="J54" s="51">
        <v>0</v>
      </c>
      <c r="K54" s="82">
        <v>10</v>
      </c>
      <c r="L54" s="82"/>
      <c r="M54" s="83">
        <v>2.1</v>
      </c>
      <c r="N54" s="84">
        <v>0</v>
      </c>
      <c r="O54" s="84">
        <v>0</v>
      </c>
      <c r="P54" s="52">
        <f t="shared" si="1"/>
        <v>21</v>
      </c>
      <c r="Q54" s="85" t="s">
        <v>42</v>
      </c>
      <c r="R54" s="86" t="s">
        <v>42</v>
      </c>
      <c r="S54" s="140"/>
      <c r="T54" s="141"/>
      <c r="U54" s="2"/>
      <c r="V54" s="3"/>
    </row>
    <row r="55" spans="1:22" x14ac:dyDescent="0.2">
      <c r="A55" s="38">
        <v>35</v>
      </c>
      <c r="B55" s="38">
        <v>5210636</v>
      </c>
      <c r="C55" s="39" t="s">
        <v>139</v>
      </c>
      <c r="D55" s="40" t="s">
        <v>140</v>
      </c>
      <c r="E55" s="41" t="s">
        <v>139</v>
      </c>
      <c r="F55" s="39" t="s">
        <v>86</v>
      </c>
      <c r="G55" s="43">
        <v>1</v>
      </c>
      <c r="H55" s="42" t="s">
        <v>66</v>
      </c>
      <c r="I55" s="42"/>
      <c r="J55" s="51">
        <v>0</v>
      </c>
      <c r="K55" s="82">
        <v>5</v>
      </c>
      <c r="L55" s="82"/>
      <c r="M55" s="83">
        <v>4.03</v>
      </c>
      <c r="N55" s="84">
        <v>0</v>
      </c>
      <c r="O55" s="84">
        <v>0</v>
      </c>
      <c r="P55" s="52">
        <f t="shared" si="1"/>
        <v>20.149999999999999</v>
      </c>
      <c r="Q55" s="85" t="s">
        <v>42</v>
      </c>
      <c r="R55" s="86" t="s">
        <v>42</v>
      </c>
      <c r="S55" s="140" t="s">
        <v>340</v>
      </c>
      <c r="T55" s="141"/>
      <c r="U55" s="2"/>
      <c r="V55" s="3"/>
    </row>
    <row r="56" spans="1:22" x14ac:dyDescent="0.2">
      <c r="A56" s="38">
        <v>36</v>
      </c>
      <c r="B56" s="38">
        <v>5210648</v>
      </c>
      <c r="C56" s="39" t="s">
        <v>141</v>
      </c>
      <c r="D56" s="40" t="s">
        <v>142</v>
      </c>
      <c r="E56" s="41" t="s">
        <v>141</v>
      </c>
      <c r="F56" s="39" t="s">
        <v>86</v>
      </c>
      <c r="G56" s="43">
        <v>1</v>
      </c>
      <c r="H56" s="42" t="s">
        <v>66</v>
      </c>
      <c r="I56" s="42"/>
      <c r="J56" s="51">
        <v>0</v>
      </c>
      <c r="K56" s="82">
        <v>10</v>
      </c>
      <c r="L56" s="82"/>
      <c r="M56" s="83">
        <v>5.48</v>
      </c>
      <c r="N56" s="84">
        <v>0</v>
      </c>
      <c r="O56" s="84">
        <v>0</v>
      </c>
      <c r="P56" s="52">
        <f t="shared" si="1"/>
        <v>54.8</v>
      </c>
      <c r="Q56" s="85" t="s">
        <v>42</v>
      </c>
      <c r="R56" s="86" t="s">
        <v>42</v>
      </c>
      <c r="S56" s="140"/>
      <c r="T56" s="141"/>
      <c r="U56" s="2"/>
      <c r="V56" s="3"/>
    </row>
    <row r="57" spans="1:22" x14ac:dyDescent="0.2">
      <c r="A57" s="38">
        <v>37</v>
      </c>
      <c r="B57" s="38">
        <v>5210654</v>
      </c>
      <c r="C57" s="39" t="s">
        <v>143</v>
      </c>
      <c r="D57" s="40" t="s">
        <v>144</v>
      </c>
      <c r="E57" s="41" t="s">
        <v>143</v>
      </c>
      <c r="F57" s="39" t="s">
        <v>86</v>
      </c>
      <c r="G57" s="43">
        <v>1</v>
      </c>
      <c r="H57" s="42" t="s">
        <v>66</v>
      </c>
      <c r="I57" s="42"/>
      <c r="J57" s="51">
        <v>0</v>
      </c>
      <c r="K57" s="82">
        <v>10</v>
      </c>
      <c r="L57" s="82"/>
      <c r="M57" s="83">
        <v>4.03</v>
      </c>
      <c r="N57" s="84">
        <v>0</v>
      </c>
      <c r="O57" s="84">
        <v>0</v>
      </c>
      <c r="P57" s="52">
        <f t="shared" si="1"/>
        <v>40.299999999999997</v>
      </c>
      <c r="Q57" s="85" t="s">
        <v>42</v>
      </c>
      <c r="R57" s="86" t="s">
        <v>42</v>
      </c>
      <c r="S57" s="140" t="s">
        <v>341</v>
      </c>
      <c r="T57" s="141"/>
      <c r="U57" s="2"/>
      <c r="V57" s="3"/>
    </row>
    <row r="58" spans="1:22" x14ac:dyDescent="0.2">
      <c r="A58" s="38">
        <v>38</v>
      </c>
      <c r="B58" s="38">
        <v>6085413</v>
      </c>
      <c r="C58" s="39" t="s">
        <v>145</v>
      </c>
      <c r="D58" s="40" t="s">
        <v>146</v>
      </c>
      <c r="E58" s="41" t="s">
        <v>145</v>
      </c>
      <c r="F58" s="39" t="s">
        <v>86</v>
      </c>
      <c r="G58" s="43">
        <v>1</v>
      </c>
      <c r="H58" s="42" t="s">
        <v>66</v>
      </c>
      <c r="I58" s="42"/>
      <c r="J58" s="51">
        <v>0</v>
      </c>
      <c r="K58" s="82">
        <v>15</v>
      </c>
      <c r="L58" s="82"/>
      <c r="M58" s="83">
        <v>1.45</v>
      </c>
      <c r="N58" s="84">
        <v>0</v>
      </c>
      <c r="O58" s="84">
        <v>0</v>
      </c>
      <c r="P58" s="52">
        <f t="shared" si="1"/>
        <v>21.75</v>
      </c>
      <c r="Q58" s="85" t="s">
        <v>42</v>
      </c>
      <c r="R58" s="86" t="s">
        <v>42</v>
      </c>
      <c r="S58" s="140"/>
      <c r="T58" s="141"/>
      <c r="U58" s="2"/>
      <c r="V58" s="3"/>
    </row>
    <row r="59" spans="1:22" x14ac:dyDescent="0.2">
      <c r="A59" s="38">
        <v>39</v>
      </c>
      <c r="B59" s="38">
        <v>5210665</v>
      </c>
      <c r="C59" s="39" t="s">
        <v>147</v>
      </c>
      <c r="D59" s="40" t="s">
        <v>148</v>
      </c>
      <c r="E59" s="41" t="s">
        <v>147</v>
      </c>
      <c r="F59" s="39" t="s">
        <v>86</v>
      </c>
      <c r="G59" s="43">
        <v>1</v>
      </c>
      <c r="H59" s="42" t="s">
        <v>66</v>
      </c>
      <c r="I59" s="42"/>
      <c r="J59" s="51">
        <v>0</v>
      </c>
      <c r="K59" s="82">
        <v>10</v>
      </c>
      <c r="L59" s="82"/>
      <c r="M59" s="83">
        <v>0.97</v>
      </c>
      <c r="N59" s="84">
        <v>0</v>
      </c>
      <c r="O59" s="84">
        <v>0</v>
      </c>
      <c r="P59" s="52">
        <f t="shared" si="1"/>
        <v>9.6999999999999993</v>
      </c>
      <c r="Q59" s="85" t="s">
        <v>42</v>
      </c>
      <c r="R59" s="86" t="s">
        <v>42</v>
      </c>
      <c r="S59" s="140"/>
      <c r="T59" s="141"/>
      <c r="U59" s="2"/>
      <c r="V59" s="3"/>
    </row>
    <row r="60" spans="1:22" x14ac:dyDescent="0.2">
      <c r="A60" s="38">
        <v>40</v>
      </c>
      <c r="B60" s="38">
        <v>5210691</v>
      </c>
      <c r="C60" s="39" t="s">
        <v>149</v>
      </c>
      <c r="D60" s="40" t="s">
        <v>150</v>
      </c>
      <c r="E60" s="41" t="s">
        <v>149</v>
      </c>
      <c r="F60" s="39" t="s">
        <v>86</v>
      </c>
      <c r="G60" s="43">
        <v>1</v>
      </c>
      <c r="H60" s="42" t="s">
        <v>66</v>
      </c>
      <c r="I60" s="42"/>
      <c r="J60" s="51">
        <v>0</v>
      </c>
      <c r="K60" s="82">
        <v>20</v>
      </c>
      <c r="L60" s="82"/>
      <c r="M60" s="83">
        <v>0.97</v>
      </c>
      <c r="N60" s="84">
        <v>0</v>
      </c>
      <c r="O60" s="84">
        <v>0</v>
      </c>
      <c r="P60" s="52">
        <f t="shared" si="1"/>
        <v>19.399999999999999</v>
      </c>
      <c r="Q60" s="85" t="s">
        <v>42</v>
      </c>
      <c r="R60" s="86" t="s">
        <v>42</v>
      </c>
      <c r="S60" s="140"/>
      <c r="T60" s="141"/>
      <c r="U60" s="2"/>
      <c r="V60" s="3"/>
    </row>
    <row r="61" spans="1:22" x14ac:dyDescent="0.2">
      <c r="A61" s="38">
        <v>41</v>
      </c>
      <c r="B61" s="38">
        <v>5557767</v>
      </c>
      <c r="C61" s="39" t="s">
        <v>151</v>
      </c>
      <c r="D61" s="40" t="s">
        <v>152</v>
      </c>
      <c r="E61" s="41" t="s">
        <v>151</v>
      </c>
      <c r="F61" s="39" t="s">
        <v>86</v>
      </c>
      <c r="G61" s="43">
        <v>1</v>
      </c>
      <c r="H61" s="42" t="s">
        <v>66</v>
      </c>
      <c r="I61" s="42"/>
      <c r="J61" s="51">
        <v>0</v>
      </c>
      <c r="K61" s="82">
        <v>30</v>
      </c>
      <c r="L61" s="82"/>
      <c r="M61" s="83">
        <v>1.94</v>
      </c>
      <c r="N61" s="84">
        <v>0</v>
      </c>
      <c r="O61" s="84">
        <v>0</v>
      </c>
      <c r="P61" s="52">
        <f t="shared" si="1"/>
        <v>58.2</v>
      </c>
      <c r="Q61" s="85" t="s">
        <v>42</v>
      </c>
      <c r="R61" s="86" t="s">
        <v>42</v>
      </c>
      <c r="S61" s="140"/>
      <c r="T61" s="141"/>
      <c r="U61" s="2"/>
      <c r="V61" s="3"/>
    </row>
    <row r="62" spans="1:22" x14ac:dyDescent="0.2">
      <c r="A62" s="38">
        <v>42</v>
      </c>
      <c r="B62" s="38">
        <v>5210727</v>
      </c>
      <c r="C62" s="39" t="s">
        <v>153</v>
      </c>
      <c r="D62" s="40" t="s">
        <v>154</v>
      </c>
      <c r="E62" s="41" t="s">
        <v>153</v>
      </c>
      <c r="F62" s="39" t="s">
        <v>86</v>
      </c>
      <c r="G62" s="43">
        <v>1</v>
      </c>
      <c r="H62" s="42" t="s">
        <v>66</v>
      </c>
      <c r="I62" s="42"/>
      <c r="J62" s="51">
        <v>0</v>
      </c>
      <c r="K62" s="82">
        <v>60</v>
      </c>
      <c r="L62" s="82"/>
      <c r="M62" s="83">
        <v>0.97</v>
      </c>
      <c r="N62" s="84">
        <v>0</v>
      </c>
      <c r="O62" s="84">
        <v>0</v>
      </c>
      <c r="P62" s="52">
        <f t="shared" si="1"/>
        <v>58.2</v>
      </c>
      <c r="Q62" s="85" t="s">
        <v>42</v>
      </c>
      <c r="R62" s="86" t="s">
        <v>42</v>
      </c>
      <c r="S62" s="140"/>
      <c r="T62" s="141"/>
      <c r="U62" s="2"/>
      <c r="V62" s="3"/>
    </row>
    <row r="63" spans="1:22" x14ac:dyDescent="0.2">
      <c r="A63" s="38">
        <v>43</v>
      </c>
      <c r="B63" s="38">
        <v>5210730</v>
      </c>
      <c r="C63" s="39" t="s">
        <v>155</v>
      </c>
      <c r="D63" s="40" t="s">
        <v>156</v>
      </c>
      <c r="E63" s="41" t="s">
        <v>155</v>
      </c>
      <c r="F63" s="39" t="s">
        <v>86</v>
      </c>
      <c r="G63" s="43">
        <v>1</v>
      </c>
      <c r="H63" s="42" t="s">
        <v>66</v>
      </c>
      <c r="I63" s="42"/>
      <c r="J63" s="51">
        <v>0</v>
      </c>
      <c r="K63" s="82">
        <v>20</v>
      </c>
      <c r="L63" s="82"/>
      <c r="M63" s="83">
        <v>1.1299999999999999</v>
      </c>
      <c r="N63" s="84">
        <v>0</v>
      </c>
      <c r="O63" s="84">
        <v>0</v>
      </c>
      <c r="P63" s="52">
        <f t="shared" si="1"/>
        <v>22.6</v>
      </c>
      <c r="Q63" s="85" t="s">
        <v>42</v>
      </c>
      <c r="R63" s="86" t="s">
        <v>42</v>
      </c>
      <c r="S63" s="140" t="s">
        <v>342</v>
      </c>
      <c r="T63" s="141"/>
      <c r="U63" s="2"/>
      <c r="V63" s="3"/>
    </row>
    <row r="64" spans="1:22" x14ac:dyDescent="0.2">
      <c r="A64" s="38">
        <v>44</v>
      </c>
      <c r="B64" s="38">
        <v>5210739</v>
      </c>
      <c r="C64" s="39" t="s">
        <v>157</v>
      </c>
      <c r="D64" s="40" t="s">
        <v>158</v>
      </c>
      <c r="E64" s="41" t="s">
        <v>157</v>
      </c>
      <c r="F64" s="39" t="s">
        <v>86</v>
      </c>
      <c r="G64" s="43">
        <v>1</v>
      </c>
      <c r="H64" s="42" t="s">
        <v>66</v>
      </c>
      <c r="I64" s="42"/>
      <c r="J64" s="51">
        <v>0</v>
      </c>
      <c r="K64" s="82">
        <v>10</v>
      </c>
      <c r="L64" s="82"/>
      <c r="M64" s="83">
        <v>6.77</v>
      </c>
      <c r="N64" s="84">
        <v>0</v>
      </c>
      <c r="O64" s="84">
        <v>0</v>
      </c>
      <c r="P64" s="52">
        <f t="shared" si="1"/>
        <v>67.7</v>
      </c>
      <c r="Q64" s="85" t="s">
        <v>42</v>
      </c>
      <c r="R64" s="86" t="s">
        <v>42</v>
      </c>
      <c r="S64" s="140"/>
      <c r="T64" s="141"/>
      <c r="U64" s="2"/>
      <c r="V64" s="3"/>
    </row>
    <row r="65" spans="1:22" x14ac:dyDescent="0.2">
      <c r="A65" s="38">
        <v>45</v>
      </c>
      <c r="B65" s="38">
        <v>5210757</v>
      </c>
      <c r="C65" s="39" t="s">
        <v>159</v>
      </c>
      <c r="D65" s="40" t="s">
        <v>160</v>
      </c>
      <c r="E65" s="41" t="s">
        <v>159</v>
      </c>
      <c r="F65" s="39" t="s">
        <v>86</v>
      </c>
      <c r="G65" s="43">
        <v>1</v>
      </c>
      <c r="H65" s="42" t="s">
        <v>66</v>
      </c>
      <c r="I65" s="42"/>
      <c r="J65" s="51">
        <v>0</v>
      </c>
      <c r="K65" s="82">
        <v>5</v>
      </c>
      <c r="L65" s="82"/>
      <c r="M65" s="83">
        <v>0</v>
      </c>
      <c r="N65" s="84">
        <v>0</v>
      </c>
      <c r="O65" s="84">
        <v>0</v>
      </c>
      <c r="P65" s="52">
        <f t="shared" si="1"/>
        <v>0</v>
      </c>
      <c r="Q65" s="85" t="s">
        <v>42</v>
      </c>
      <c r="R65" s="86" t="s">
        <v>42</v>
      </c>
      <c r="S65" s="140" t="s">
        <v>339</v>
      </c>
      <c r="T65" s="141"/>
      <c r="U65" s="2"/>
      <c r="V65" s="3"/>
    </row>
    <row r="66" spans="1:22" x14ac:dyDescent="0.2">
      <c r="A66" s="38">
        <v>46</v>
      </c>
      <c r="B66" s="38">
        <v>5210762</v>
      </c>
      <c r="C66" s="39" t="s">
        <v>161</v>
      </c>
      <c r="D66" s="40" t="s">
        <v>162</v>
      </c>
      <c r="E66" s="41" t="s">
        <v>161</v>
      </c>
      <c r="F66" s="39" t="s">
        <v>86</v>
      </c>
      <c r="G66" s="43">
        <v>1</v>
      </c>
      <c r="H66" s="42" t="s">
        <v>66</v>
      </c>
      <c r="I66" s="42"/>
      <c r="J66" s="51">
        <v>0</v>
      </c>
      <c r="K66" s="82">
        <v>3</v>
      </c>
      <c r="L66" s="82"/>
      <c r="M66" s="83">
        <v>2.9</v>
      </c>
      <c r="N66" s="84">
        <v>0</v>
      </c>
      <c r="O66" s="84">
        <v>0</v>
      </c>
      <c r="P66" s="52">
        <f t="shared" si="1"/>
        <v>8.6999999999999993</v>
      </c>
      <c r="Q66" s="85" t="s">
        <v>42</v>
      </c>
      <c r="R66" s="86" t="s">
        <v>42</v>
      </c>
      <c r="S66" s="140"/>
      <c r="T66" s="141"/>
      <c r="U66" s="2"/>
      <c r="V66" s="3"/>
    </row>
    <row r="67" spans="1:22" x14ac:dyDescent="0.2">
      <c r="A67" s="38">
        <v>47</v>
      </c>
      <c r="B67" s="38">
        <v>5210779</v>
      </c>
      <c r="C67" s="39" t="s">
        <v>163</v>
      </c>
      <c r="D67" s="40" t="s">
        <v>164</v>
      </c>
      <c r="E67" s="41" t="s">
        <v>163</v>
      </c>
      <c r="F67" s="39" t="s">
        <v>86</v>
      </c>
      <c r="G67" s="43">
        <v>1</v>
      </c>
      <c r="H67" s="42" t="s">
        <v>66</v>
      </c>
      <c r="I67" s="42"/>
      <c r="J67" s="51">
        <v>0</v>
      </c>
      <c r="K67" s="82">
        <v>20</v>
      </c>
      <c r="L67" s="82"/>
      <c r="M67" s="83">
        <v>2.2599999999999998</v>
      </c>
      <c r="N67" s="84">
        <v>0</v>
      </c>
      <c r="O67" s="84">
        <v>0</v>
      </c>
      <c r="P67" s="52">
        <f t="shared" si="1"/>
        <v>45.2</v>
      </c>
      <c r="Q67" s="85" t="s">
        <v>42</v>
      </c>
      <c r="R67" s="86" t="s">
        <v>42</v>
      </c>
      <c r="S67" s="140"/>
      <c r="T67" s="141"/>
      <c r="U67" s="2"/>
      <c r="V67" s="3"/>
    </row>
    <row r="68" spans="1:22" x14ac:dyDescent="0.2">
      <c r="A68" s="38">
        <v>48</v>
      </c>
      <c r="B68" s="38">
        <v>5210795</v>
      </c>
      <c r="C68" s="39" t="s">
        <v>165</v>
      </c>
      <c r="D68" s="40" t="s">
        <v>166</v>
      </c>
      <c r="E68" s="41" t="s">
        <v>165</v>
      </c>
      <c r="F68" s="39" t="s">
        <v>86</v>
      </c>
      <c r="G68" s="43">
        <v>1</v>
      </c>
      <c r="H68" s="42" t="s">
        <v>66</v>
      </c>
      <c r="I68" s="42"/>
      <c r="J68" s="51">
        <v>0</v>
      </c>
      <c r="K68" s="82">
        <v>10</v>
      </c>
      <c r="L68" s="82"/>
      <c r="M68" s="83">
        <v>1.94</v>
      </c>
      <c r="N68" s="84">
        <v>0</v>
      </c>
      <c r="O68" s="84">
        <v>0</v>
      </c>
      <c r="P68" s="52">
        <f t="shared" si="1"/>
        <v>19.399999999999999</v>
      </c>
      <c r="Q68" s="85" t="s">
        <v>42</v>
      </c>
      <c r="R68" s="86" t="s">
        <v>42</v>
      </c>
      <c r="S68" s="140"/>
      <c r="T68" s="141"/>
      <c r="U68" s="2"/>
      <c r="V68" s="3"/>
    </row>
    <row r="69" spans="1:22" x14ac:dyDescent="0.2">
      <c r="A69" s="38">
        <v>49</v>
      </c>
      <c r="B69" s="38">
        <v>5606711</v>
      </c>
      <c r="C69" s="39" t="s">
        <v>167</v>
      </c>
      <c r="D69" s="40" t="s">
        <v>168</v>
      </c>
      <c r="E69" s="41" t="s">
        <v>167</v>
      </c>
      <c r="F69" s="39" t="s">
        <v>169</v>
      </c>
      <c r="G69" s="43">
        <v>100</v>
      </c>
      <c r="H69" s="42" t="s">
        <v>63</v>
      </c>
      <c r="I69" s="42"/>
      <c r="J69" s="51">
        <v>0</v>
      </c>
      <c r="K69" s="82">
        <v>2</v>
      </c>
      <c r="L69" s="82"/>
      <c r="M69" s="83">
        <v>0</v>
      </c>
      <c r="N69" s="84">
        <v>0</v>
      </c>
      <c r="O69" s="84">
        <v>0</v>
      </c>
      <c r="P69" s="52">
        <f t="shared" si="1"/>
        <v>0</v>
      </c>
      <c r="Q69" s="85" t="s">
        <v>42</v>
      </c>
      <c r="R69" s="86" t="s">
        <v>42</v>
      </c>
      <c r="S69" s="140" t="s">
        <v>339</v>
      </c>
      <c r="T69" s="141"/>
      <c r="U69" s="2"/>
      <c r="V69" s="3"/>
    </row>
    <row r="70" spans="1:22" x14ac:dyDescent="0.2">
      <c r="A70" s="38">
        <v>50</v>
      </c>
      <c r="B70" s="38">
        <v>5317291</v>
      </c>
      <c r="C70" s="39" t="s">
        <v>170</v>
      </c>
      <c r="D70" s="40" t="s">
        <v>171</v>
      </c>
      <c r="E70" s="41" t="s">
        <v>170</v>
      </c>
      <c r="F70" s="39" t="s">
        <v>172</v>
      </c>
      <c r="G70" s="43">
        <v>100</v>
      </c>
      <c r="H70" s="42" t="s">
        <v>63</v>
      </c>
      <c r="I70" s="42"/>
      <c r="J70" s="51">
        <v>0</v>
      </c>
      <c r="K70" s="82">
        <v>2</v>
      </c>
      <c r="L70" s="82"/>
      <c r="M70" s="83">
        <v>1.48</v>
      </c>
      <c r="N70" s="84">
        <v>0</v>
      </c>
      <c r="O70" s="84">
        <v>0</v>
      </c>
      <c r="P70" s="87">
        <f t="shared" si="1"/>
        <v>2.96</v>
      </c>
      <c r="Q70" s="85" t="s">
        <v>42</v>
      </c>
      <c r="R70" s="86" t="s">
        <v>42</v>
      </c>
      <c r="S70" s="140" t="s">
        <v>343</v>
      </c>
      <c r="T70" s="141"/>
      <c r="U70" s="2"/>
      <c r="V70" s="3"/>
    </row>
    <row r="71" spans="1:22" x14ac:dyDescent="0.2">
      <c r="A71" s="38"/>
      <c r="B71" s="38"/>
      <c r="C71" s="39"/>
      <c r="D71" s="40"/>
      <c r="E71" s="41"/>
      <c r="F71" s="39"/>
      <c r="G71" s="43"/>
      <c r="H71" s="39"/>
      <c r="I71" s="39"/>
      <c r="J71" s="51"/>
      <c r="K71" s="88"/>
      <c r="L71" s="89"/>
      <c r="M71" s="90" t="s">
        <v>173</v>
      </c>
      <c r="N71" s="91"/>
      <c r="O71" s="91"/>
      <c r="P71" s="52">
        <f>SUM(P21:P70)</f>
        <v>2251.7499999999995</v>
      </c>
      <c r="Q71" s="92"/>
      <c r="R71" s="93"/>
      <c r="S71" s="94"/>
      <c r="T71" s="3"/>
      <c r="U71" s="2"/>
      <c r="V71" s="3"/>
    </row>
    <row r="72" spans="1:22" hidden="1" x14ac:dyDescent="0.2">
      <c r="A72" s="38"/>
      <c r="B72" s="38"/>
      <c r="C72" s="39"/>
      <c r="D72" s="40"/>
      <c r="E72" s="41"/>
      <c r="F72" s="39"/>
      <c r="G72" s="43"/>
      <c r="H72" s="42"/>
      <c r="I72" s="42"/>
      <c r="J72" s="51"/>
      <c r="K72" s="88"/>
      <c r="L72" s="82"/>
      <c r="M72" s="83"/>
      <c r="N72" s="95"/>
      <c r="O72" s="95"/>
      <c r="P72" s="52"/>
      <c r="Q72" s="85"/>
      <c r="R72" s="86"/>
      <c r="S72" s="2"/>
      <c r="T72" s="3"/>
      <c r="U72" s="2"/>
      <c r="V72" s="3"/>
    </row>
    <row r="73" spans="1:22" x14ac:dyDescent="0.2">
      <c r="A73" s="8"/>
      <c r="B73" s="21"/>
      <c r="C73" s="22"/>
      <c r="D73" s="22"/>
      <c r="E73" s="22"/>
      <c r="F73" s="22"/>
      <c r="G73" s="22"/>
      <c r="H73" s="23"/>
      <c r="I73" s="23"/>
      <c r="J73" s="23"/>
      <c r="K73" s="23"/>
      <c r="L73" s="27"/>
      <c r="M73" s="27"/>
      <c r="N73" s="23"/>
      <c r="O73" s="23"/>
      <c r="P73" s="23"/>
      <c r="Q73" s="23"/>
      <c r="R73" s="23"/>
      <c r="S73" s="23"/>
      <c r="T73" s="23"/>
      <c r="U73" s="23"/>
      <c r="V73" s="5"/>
    </row>
    <row r="74" spans="1:22" ht="12.75" customHeight="1" x14ac:dyDescent="0.2">
      <c r="A74" s="1" t="s">
        <v>42</v>
      </c>
      <c r="B74" s="1"/>
      <c r="C74" s="142" t="s">
        <v>174</v>
      </c>
      <c r="D74" s="142"/>
      <c r="E74" s="142"/>
      <c r="F74" s="142"/>
      <c r="G74" s="142"/>
      <c r="H74" s="142"/>
      <c r="I74" s="1"/>
      <c r="J74" s="1"/>
      <c r="K74" s="4"/>
      <c r="L74" s="102" t="s">
        <v>175</v>
      </c>
      <c r="M74" s="102"/>
      <c r="N74" s="4" t="s">
        <v>52</v>
      </c>
      <c r="O74" s="4" t="s">
        <v>53</v>
      </c>
      <c r="P74" s="4" t="s">
        <v>176</v>
      </c>
      <c r="Q74" s="4"/>
      <c r="R74" s="4"/>
      <c r="S74" s="147" t="s">
        <v>57</v>
      </c>
      <c r="T74" s="147"/>
      <c r="U74" s="147"/>
      <c r="V74" s="147"/>
    </row>
    <row r="75" spans="1:22" x14ac:dyDescent="0.2">
      <c r="A75" s="9">
        <v>1</v>
      </c>
      <c r="B75" s="9"/>
      <c r="C75" s="131" t="s">
        <v>177</v>
      </c>
      <c r="D75" s="132" t="s">
        <v>177</v>
      </c>
      <c r="E75" s="132" t="s">
        <v>177</v>
      </c>
      <c r="F75" s="132" t="s">
        <v>177</v>
      </c>
      <c r="G75" s="132" t="s">
        <v>177</v>
      </c>
      <c r="H75" s="132" t="s">
        <v>177</v>
      </c>
      <c r="I75" s="132" t="s">
        <v>177</v>
      </c>
      <c r="J75" s="132" t="s">
        <v>177</v>
      </c>
      <c r="K75" s="133" t="s">
        <v>177</v>
      </c>
      <c r="L75" s="96"/>
      <c r="M75" s="97">
        <v>0</v>
      </c>
      <c r="N75" s="98">
        <v>0</v>
      </c>
      <c r="O75" s="99">
        <v>0</v>
      </c>
      <c r="P75" s="97">
        <f>ROUND((M75 -(M75*N75/100)+((M75-(M75*N75/100))*O75/100)), 4)</f>
        <v>0</v>
      </c>
      <c r="Q75" s="86"/>
      <c r="R75" s="86"/>
      <c r="S75" s="140"/>
      <c r="T75" s="155"/>
      <c r="U75" s="155"/>
      <c r="V75" s="100"/>
    </row>
    <row r="76" spans="1:22" x14ac:dyDescent="0.2">
      <c r="A76" s="9">
        <v>2</v>
      </c>
      <c r="B76" s="9"/>
      <c r="C76" s="131" t="s">
        <v>178</v>
      </c>
      <c r="D76" s="132" t="s">
        <v>178</v>
      </c>
      <c r="E76" s="132" t="s">
        <v>178</v>
      </c>
      <c r="F76" s="132" t="s">
        <v>178</v>
      </c>
      <c r="G76" s="132" t="s">
        <v>178</v>
      </c>
      <c r="H76" s="132" t="s">
        <v>178</v>
      </c>
      <c r="I76" s="132" t="s">
        <v>178</v>
      </c>
      <c r="J76" s="132" t="s">
        <v>178</v>
      </c>
      <c r="K76" s="133" t="s">
        <v>178</v>
      </c>
      <c r="L76" s="96"/>
      <c r="M76" s="97">
        <v>0</v>
      </c>
      <c r="N76" s="98">
        <v>0</v>
      </c>
      <c r="O76" s="99">
        <v>0</v>
      </c>
      <c r="P76" s="97">
        <f>ROUND((M76 -(M76*N76/100)+((M76-(M76*N76/100))*O76/100)), 4)</f>
        <v>0</v>
      </c>
      <c r="Q76" s="86"/>
      <c r="R76" s="86"/>
      <c r="S76" s="140"/>
      <c r="T76" s="155"/>
      <c r="U76" s="155"/>
      <c r="V76" s="100"/>
    </row>
    <row r="77" spans="1:22" x14ac:dyDescent="0.2">
      <c r="A77" s="9">
        <v>3</v>
      </c>
      <c r="B77" s="9"/>
      <c r="C77" s="131"/>
      <c r="D77" s="132"/>
      <c r="E77" s="132"/>
      <c r="F77" s="132"/>
      <c r="G77" s="132"/>
      <c r="H77" s="132"/>
      <c r="I77" s="132"/>
      <c r="J77" s="132"/>
      <c r="K77" s="133"/>
      <c r="L77" s="96"/>
      <c r="M77" s="97">
        <v>0</v>
      </c>
      <c r="N77" s="98">
        <v>0</v>
      </c>
      <c r="O77" s="99">
        <v>0</v>
      </c>
      <c r="P77" s="97">
        <f>ROUND((M77 -(M77*N77/100)+((M77-(M77*N77/100))*O77/100)), 4)</f>
        <v>0</v>
      </c>
      <c r="Q77" s="86"/>
      <c r="R77" s="86"/>
      <c r="S77" s="140"/>
      <c r="T77" s="155"/>
      <c r="U77" s="155"/>
      <c r="V77" s="100"/>
    </row>
    <row r="78" spans="1:22" x14ac:dyDescent="0.2">
      <c r="A78" s="9">
        <v>4</v>
      </c>
      <c r="B78" s="9"/>
      <c r="C78" s="131"/>
      <c r="D78" s="132"/>
      <c r="E78" s="132"/>
      <c r="F78" s="132"/>
      <c r="G78" s="132"/>
      <c r="H78" s="132"/>
      <c r="I78" s="132"/>
      <c r="J78" s="132"/>
      <c r="K78" s="133"/>
      <c r="L78" s="96"/>
      <c r="M78" s="97">
        <v>0</v>
      </c>
      <c r="N78" s="98">
        <v>0</v>
      </c>
      <c r="O78" s="99">
        <v>0</v>
      </c>
      <c r="P78" s="97">
        <f>ROUND((M78 -(M78*N78/100)+((M78-(M78*N78/100))*O78/100)), 4)</f>
        <v>0</v>
      </c>
      <c r="Q78" s="86"/>
      <c r="R78" s="86"/>
      <c r="S78" s="140"/>
      <c r="T78" s="155"/>
      <c r="U78" s="155"/>
      <c r="V78" s="100"/>
    </row>
    <row r="79" spans="1:22" ht="15.75" customHeight="1" x14ac:dyDescent="0.2">
      <c r="A79" s="24"/>
      <c r="B79" s="24"/>
      <c r="C79" s="25"/>
      <c r="D79" s="25"/>
      <c r="E79" s="25"/>
      <c r="F79" s="25"/>
      <c r="G79" s="25"/>
      <c r="H79" s="14"/>
      <c r="I79" s="14"/>
      <c r="J79" s="14"/>
      <c r="K79" s="29"/>
      <c r="L79" s="125" t="s">
        <v>173</v>
      </c>
      <c r="M79" s="126" t="s">
        <v>173</v>
      </c>
      <c r="N79" s="123"/>
      <c r="O79" s="124"/>
      <c r="P79" s="36">
        <f>SUM(SubItemTotal)</f>
        <v>2251.7499999999995</v>
      </c>
      <c r="Q79" s="53"/>
      <c r="R79" s="53"/>
      <c r="S79" s="14"/>
      <c r="T79" s="14"/>
      <c r="U79" s="14"/>
      <c r="V79" s="5"/>
    </row>
    <row r="80" spans="1:22" ht="30" customHeight="1" x14ac:dyDescent="0.2">
      <c r="A80" s="24"/>
      <c r="B80" s="24"/>
      <c r="C80" s="25"/>
      <c r="D80" s="25"/>
      <c r="E80" s="25"/>
      <c r="F80" s="25"/>
      <c r="G80" s="25"/>
      <c r="H80" s="14"/>
      <c r="I80" s="14"/>
      <c r="J80" s="14"/>
      <c r="K80" s="28"/>
      <c r="L80" s="121" t="s">
        <v>179</v>
      </c>
      <c r="M80" s="122" t="s">
        <v>179</v>
      </c>
      <c r="N80" s="123"/>
      <c r="O80" s="124"/>
      <c r="P80" s="37">
        <f>SUM(P75:P79)</f>
        <v>2251.7499999999995</v>
      </c>
      <c r="Q80" s="53"/>
      <c r="R80" s="53"/>
      <c r="S80" s="14"/>
      <c r="T80" s="14"/>
      <c r="U80" s="14"/>
      <c r="V80" s="5"/>
    </row>
    <row r="81" spans="1:22" ht="30" hidden="1" customHeight="1" x14ac:dyDescent="0.2">
      <c r="A81" s="33">
        <v>0</v>
      </c>
      <c r="B81" s="33">
        <v>0</v>
      </c>
      <c r="C81" s="31">
        <v>0</v>
      </c>
      <c r="D81" s="25"/>
      <c r="E81" s="25"/>
      <c r="F81" s="32">
        <v>0</v>
      </c>
      <c r="G81" s="25"/>
      <c r="H81" s="25"/>
      <c r="I81" s="25"/>
      <c r="K81" s="30"/>
      <c r="L81" s="25"/>
      <c r="M81" s="26"/>
      <c r="O81" s="25"/>
      <c r="P81" s="10"/>
      <c r="Q81" s="10"/>
      <c r="R81" s="10"/>
      <c r="S81" s="35"/>
      <c r="T81" s="10"/>
      <c r="U81" s="34"/>
      <c r="V81" s="5"/>
    </row>
    <row r="82" spans="1:22" ht="30" customHeight="1" x14ac:dyDescent="0.2">
      <c r="A82" s="33"/>
      <c r="B82" s="33"/>
      <c r="C82" s="31"/>
      <c r="D82" s="25"/>
      <c r="E82" s="25"/>
      <c r="F82" s="32"/>
      <c r="G82" s="25"/>
      <c r="H82" s="25"/>
      <c r="I82" s="25"/>
      <c r="K82" s="30"/>
      <c r="L82" s="25"/>
      <c r="M82" s="26"/>
      <c r="O82" s="25"/>
      <c r="P82" s="10"/>
      <c r="Q82" s="10"/>
      <c r="R82" s="10"/>
      <c r="S82" s="35"/>
      <c r="T82" s="10"/>
      <c r="U82" s="34"/>
      <c r="V82" s="5"/>
    </row>
    <row r="83" spans="1:22" ht="30" customHeight="1" x14ac:dyDescent="0.2">
      <c r="A83" s="127" t="s">
        <v>180</v>
      </c>
      <c r="B83" s="128"/>
      <c r="C83" s="128"/>
      <c r="D83" s="129"/>
      <c r="E83" s="137"/>
      <c r="F83" s="138" t="s">
        <v>181</v>
      </c>
      <c r="G83" s="138"/>
      <c r="H83" s="138"/>
      <c r="I83" s="138"/>
      <c r="J83" s="138"/>
      <c r="K83" s="138"/>
      <c r="L83" s="138"/>
      <c r="M83" s="138"/>
      <c r="N83" s="138"/>
      <c r="O83" s="138"/>
      <c r="P83" s="138"/>
      <c r="Q83" s="138"/>
      <c r="R83" s="138"/>
      <c r="S83" s="138"/>
      <c r="T83" s="138"/>
      <c r="U83" s="139"/>
      <c r="V83" s="5"/>
    </row>
    <row r="84" spans="1:22" ht="18.75" customHeight="1" x14ac:dyDescent="0.2">
      <c r="A84" s="127" t="s">
        <v>182</v>
      </c>
      <c r="B84" s="128"/>
      <c r="C84" s="128"/>
      <c r="D84" s="129"/>
      <c r="E84" s="134"/>
      <c r="F84" s="135"/>
      <c r="G84" s="135"/>
      <c r="H84" s="135"/>
      <c r="I84" s="135"/>
      <c r="J84" s="135"/>
      <c r="K84" s="135"/>
      <c r="L84" s="135"/>
      <c r="M84" s="135"/>
      <c r="N84" s="135"/>
      <c r="O84" s="135"/>
      <c r="P84" s="135"/>
      <c r="Q84" s="135"/>
      <c r="R84" s="135"/>
      <c r="S84" s="135"/>
      <c r="T84" s="135"/>
      <c r="U84" s="136"/>
      <c r="V84" s="5"/>
    </row>
    <row r="85" spans="1:22" ht="15.75" customHeight="1" x14ac:dyDescent="0.2">
      <c r="A85" s="127" t="s">
        <v>57</v>
      </c>
      <c r="B85" s="128"/>
      <c r="C85" s="128"/>
      <c r="D85" s="129"/>
      <c r="E85" s="151"/>
      <c r="F85" s="152"/>
      <c r="G85" s="152"/>
      <c r="H85" s="152"/>
      <c r="I85" s="152"/>
      <c r="J85" s="152"/>
      <c r="K85" s="152"/>
      <c r="L85" s="152"/>
      <c r="M85" s="152"/>
      <c r="N85" s="152"/>
      <c r="O85" s="152"/>
      <c r="P85" s="152"/>
      <c r="Q85" s="152"/>
      <c r="R85" s="152"/>
      <c r="S85" s="152"/>
      <c r="T85" s="152"/>
      <c r="U85" s="152"/>
      <c r="V85" s="101"/>
    </row>
    <row r="86" spans="1:22" ht="15.75" customHeight="1" x14ac:dyDescent="0.2">
      <c r="A86" s="24"/>
      <c r="B86" s="24"/>
      <c r="C86" s="24"/>
      <c r="D86" s="5"/>
      <c r="E86" s="5"/>
      <c r="F86" s="5"/>
      <c r="G86" s="5"/>
      <c r="H86" s="25"/>
      <c r="I86" s="25"/>
      <c r="J86" s="25"/>
      <c r="K86" s="25"/>
      <c r="L86" s="25"/>
      <c r="M86" s="25"/>
      <c r="N86" s="25"/>
      <c r="O86" s="25"/>
      <c r="P86" s="25"/>
      <c r="Q86" s="25"/>
      <c r="R86" s="25"/>
      <c r="S86" s="25"/>
      <c r="T86" s="25"/>
      <c r="U86" s="25"/>
      <c r="V86" s="5"/>
    </row>
    <row r="87" spans="1:22" ht="15" customHeight="1" x14ac:dyDescent="0.2">
      <c r="A87" s="153" t="s">
        <v>183</v>
      </c>
      <c r="B87" s="153"/>
      <c r="C87" s="153"/>
      <c r="D87" s="153"/>
      <c r="E87" s="153"/>
      <c r="F87" s="153"/>
      <c r="G87" s="153"/>
      <c r="H87" s="153"/>
      <c r="I87" s="153"/>
      <c r="J87" s="153"/>
      <c r="K87" s="153"/>
      <c r="L87" s="153"/>
      <c r="M87" s="153"/>
      <c r="N87" s="153"/>
      <c r="O87" s="153"/>
      <c r="P87" s="153"/>
      <c r="Q87" s="153"/>
      <c r="R87" s="153"/>
      <c r="S87" s="153"/>
      <c r="T87" s="153"/>
      <c r="U87" s="153"/>
      <c r="V87" s="153"/>
    </row>
    <row r="88" spans="1:22" ht="12.75" customHeight="1" x14ac:dyDescent="0.2">
      <c r="A88" s="154" t="s">
        <v>184</v>
      </c>
      <c r="B88" s="154"/>
      <c r="C88" s="154"/>
      <c r="D88" s="154"/>
      <c r="E88" s="154"/>
      <c r="F88" s="154"/>
      <c r="G88" s="154"/>
      <c r="H88" s="154"/>
      <c r="I88" s="154"/>
      <c r="J88" s="154"/>
      <c r="K88" s="154"/>
      <c r="L88" s="154"/>
      <c r="M88" s="154"/>
      <c r="N88" s="154"/>
      <c r="O88" s="154"/>
      <c r="P88" s="154"/>
      <c r="Q88" s="154"/>
      <c r="R88" s="154"/>
      <c r="S88" s="154"/>
      <c r="T88" s="154"/>
      <c r="U88" s="154"/>
      <c r="V88" s="154"/>
    </row>
    <row r="89" spans="1:22" ht="12.75" customHeight="1" x14ac:dyDescent="0.2">
      <c r="A89" s="154" t="s">
        <v>185</v>
      </c>
      <c r="B89" s="154"/>
      <c r="C89" s="154"/>
      <c r="D89" s="154"/>
      <c r="E89" s="154"/>
      <c r="F89" s="154"/>
      <c r="G89" s="154"/>
      <c r="H89" s="154"/>
      <c r="I89" s="154"/>
      <c r="J89" s="154"/>
      <c r="K89" s="154"/>
      <c r="L89" s="154"/>
      <c r="M89" s="154"/>
      <c r="N89" s="154"/>
      <c r="O89" s="154"/>
      <c r="P89" s="154"/>
      <c r="Q89" s="154"/>
      <c r="R89" s="154"/>
      <c r="S89" s="154"/>
      <c r="T89" s="154"/>
      <c r="U89" s="154"/>
      <c r="V89" s="154"/>
    </row>
    <row r="90" spans="1:22" ht="7.5" customHeight="1" x14ac:dyDescent="0.2">
      <c r="A90" s="11"/>
      <c r="B90" s="11"/>
      <c r="C90" s="11"/>
      <c r="D90" s="11"/>
      <c r="E90" s="11"/>
      <c r="F90" s="11"/>
      <c r="G90" s="11"/>
      <c r="H90" s="11"/>
      <c r="I90" s="11"/>
      <c r="J90" s="11"/>
      <c r="K90" s="11"/>
      <c r="L90" s="11"/>
      <c r="M90" s="11"/>
      <c r="N90" s="11"/>
      <c r="O90" s="11"/>
      <c r="P90" s="11"/>
      <c r="Q90" s="11"/>
      <c r="R90" s="11"/>
      <c r="S90" s="11"/>
      <c r="T90" s="11"/>
      <c r="U90" s="11"/>
      <c r="V90" s="11"/>
    </row>
    <row r="91" spans="1:22" ht="12.75" customHeight="1" x14ac:dyDescent="0.2">
      <c r="A91" s="150" t="s">
        <v>186</v>
      </c>
      <c r="B91" s="150"/>
      <c r="C91" s="150"/>
      <c r="D91" s="150"/>
      <c r="E91" s="150"/>
      <c r="F91" s="150"/>
      <c r="G91" s="150"/>
      <c r="H91" s="150"/>
      <c r="I91" s="150"/>
      <c r="J91" s="150"/>
      <c r="K91" s="150"/>
      <c r="L91" s="150"/>
      <c r="M91" s="150"/>
      <c r="N91" s="150"/>
      <c r="O91" s="150"/>
      <c r="P91" s="150"/>
      <c r="Q91" s="150"/>
      <c r="R91" s="150"/>
      <c r="S91" s="150"/>
      <c r="T91" s="150"/>
      <c r="U91" s="150"/>
      <c r="V91" s="150"/>
    </row>
    <row r="92" spans="1:22" ht="12.75" customHeight="1" x14ac:dyDescent="0.2">
      <c r="A92" s="150" t="s">
        <v>187</v>
      </c>
      <c r="B92" s="150"/>
      <c r="C92" s="150"/>
      <c r="D92" s="150"/>
      <c r="E92" s="150"/>
      <c r="F92" s="150"/>
      <c r="G92" s="150"/>
      <c r="H92" s="150"/>
      <c r="I92" s="150"/>
      <c r="J92" s="150"/>
      <c r="K92" s="150"/>
      <c r="L92" s="150"/>
      <c r="M92" s="150"/>
      <c r="N92" s="150"/>
      <c r="O92" s="150"/>
      <c r="P92" s="150"/>
      <c r="Q92" s="150"/>
      <c r="R92" s="150"/>
      <c r="S92" s="150"/>
      <c r="T92" s="150"/>
      <c r="U92" s="150"/>
      <c r="V92" s="150"/>
    </row>
    <row r="93" spans="1:22" ht="12.75" customHeight="1" x14ac:dyDescent="0.2">
      <c r="A93" s="150" t="s">
        <v>188</v>
      </c>
      <c r="B93" s="150"/>
      <c r="C93" s="150"/>
      <c r="D93" s="150"/>
      <c r="E93" s="150"/>
      <c r="F93" s="150"/>
      <c r="G93" s="150"/>
      <c r="H93" s="150"/>
      <c r="I93" s="150"/>
      <c r="J93" s="150"/>
      <c r="K93" s="150"/>
      <c r="L93" s="150"/>
      <c r="M93" s="150"/>
      <c r="N93" s="150"/>
      <c r="O93" s="150"/>
      <c r="P93" s="150"/>
      <c r="Q93" s="150"/>
      <c r="R93" s="150"/>
      <c r="S93" s="150"/>
      <c r="T93" s="150"/>
      <c r="U93" s="150"/>
      <c r="V93" s="150"/>
    </row>
    <row r="94" spans="1:22" ht="7.5" customHeight="1" x14ac:dyDescent="0.2">
      <c r="A94" s="150"/>
      <c r="B94" s="150"/>
      <c r="C94" s="150"/>
      <c r="D94" s="150"/>
      <c r="E94" s="150"/>
      <c r="F94" s="150"/>
      <c r="G94" s="150"/>
      <c r="H94" s="150"/>
      <c r="I94" s="150"/>
      <c r="J94" s="150"/>
      <c r="K94" s="150"/>
      <c r="L94" s="150"/>
      <c r="M94" s="150"/>
      <c r="N94" s="150"/>
      <c r="O94" s="150"/>
      <c r="P94" s="150"/>
      <c r="Q94" s="150"/>
      <c r="R94" s="150"/>
      <c r="S94" s="150"/>
      <c r="T94" s="150"/>
      <c r="U94" s="150"/>
      <c r="V94" s="150"/>
    </row>
    <row r="95" spans="1:22" ht="12.75" customHeight="1" x14ac:dyDescent="0.2">
      <c r="A95" s="149" t="s">
        <v>189</v>
      </c>
      <c r="B95" s="149"/>
      <c r="C95" s="149"/>
      <c r="D95" s="149"/>
      <c r="E95" s="149"/>
      <c r="F95" s="149"/>
      <c r="G95" s="149"/>
      <c r="H95" s="149"/>
      <c r="I95" s="149"/>
      <c r="J95" s="149"/>
      <c r="K95" s="149"/>
      <c r="L95" s="149"/>
      <c r="M95" s="149"/>
      <c r="N95" s="149"/>
      <c r="O95" s="149"/>
      <c r="P95" s="149"/>
      <c r="Q95" s="149"/>
      <c r="R95" s="149"/>
      <c r="S95" s="149"/>
      <c r="T95" s="149"/>
      <c r="U95" s="149"/>
      <c r="V95" s="149"/>
    </row>
    <row r="96" spans="1:22" ht="12.75" customHeight="1" x14ac:dyDescent="0.2">
      <c r="A96" s="148" t="s">
        <v>190</v>
      </c>
      <c r="B96" s="148"/>
      <c r="C96" s="148"/>
      <c r="D96" s="148"/>
      <c r="E96" s="148"/>
      <c r="F96" s="148"/>
      <c r="G96" s="148"/>
      <c r="H96" s="148"/>
      <c r="I96" s="148"/>
      <c r="J96" s="148"/>
      <c r="K96" s="148"/>
      <c r="L96" s="148"/>
      <c r="M96" s="148"/>
      <c r="N96" s="148"/>
      <c r="O96" s="148"/>
      <c r="P96" s="148"/>
      <c r="Q96" s="148"/>
      <c r="R96" s="148"/>
      <c r="S96" s="148"/>
      <c r="T96" s="148"/>
      <c r="U96" s="148"/>
      <c r="V96" s="148"/>
    </row>
    <row r="97" spans="1:22" ht="12.75" customHeight="1" x14ac:dyDescent="0.2">
      <c r="A97" s="148" t="s">
        <v>191</v>
      </c>
      <c r="B97" s="148"/>
      <c r="C97" s="148"/>
      <c r="D97" s="148"/>
      <c r="E97" s="148"/>
      <c r="F97" s="148"/>
      <c r="G97" s="148"/>
      <c r="H97" s="148"/>
      <c r="I97" s="148"/>
      <c r="J97" s="148"/>
      <c r="K97" s="148"/>
      <c r="L97" s="148"/>
      <c r="M97" s="148"/>
      <c r="N97" s="148"/>
      <c r="O97" s="148"/>
      <c r="P97" s="148"/>
      <c r="Q97" s="148"/>
      <c r="R97" s="148"/>
      <c r="S97" s="148"/>
      <c r="T97" s="148"/>
      <c r="U97" s="148"/>
      <c r="V97" s="148"/>
    </row>
    <row r="98" spans="1:22" ht="12.75" customHeight="1" x14ac:dyDescent="0.2">
      <c r="A98" s="150" t="s">
        <v>192</v>
      </c>
      <c r="B98" s="150"/>
      <c r="C98" s="150"/>
      <c r="D98" s="150"/>
      <c r="E98" s="150"/>
      <c r="F98" s="150"/>
      <c r="G98" s="150"/>
      <c r="H98" s="150"/>
      <c r="I98" s="150"/>
      <c r="J98" s="150"/>
      <c r="K98" s="150"/>
      <c r="L98" s="150"/>
      <c r="M98" s="150"/>
      <c r="N98" s="150"/>
      <c r="O98" s="150"/>
      <c r="P98" s="150"/>
      <c r="Q98" s="150"/>
      <c r="R98" s="150"/>
      <c r="S98" s="150"/>
      <c r="T98" s="150"/>
      <c r="U98" s="150"/>
      <c r="V98" s="150"/>
    </row>
    <row r="99" spans="1:22" ht="12.75" customHeight="1" x14ac:dyDescent="0.2">
      <c r="A99" s="148" t="s">
        <v>193</v>
      </c>
      <c r="B99" s="148"/>
      <c r="C99" s="148"/>
      <c r="D99" s="148"/>
      <c r="E99" s="148"/>
      <c r="F99" s="148"/>
      <c r="G99" s="148"/>
      <c r="H99" s="148"/>
      <c r="I99" s="148"/>
      <c r="J99" s="148"/>
      <c r="K99" s="148"/>
      <c r="L99" s="148"/>
      <c r="M99" s="148"/>
      <c r="N99" s="148"/>
      <c r="O99" s="148"/>
      <c r="P99" s="148"/>
      <c r="Q99" s="148"/>
      <c r="R99" s="148"/>
      <c r="S99" s="148"/>
      <c r="T99" s="148"/>
      <c r="U99" s="148"/>
      <c r="V99" s="148"/>
    </row>
    <row r="100" spans="1:22" ht="12.75" customHeight="1" x14ac:dyDescent="0.2">
      <c r="A100" s="148" t="s">
        <v>194</v>
      </c>
      <c r="B100" s="148"/>
      <c r="C100" s="148"/>
      <c r="D100" s="148"/>
      <c r="E100" s="148"/>
      <c r="F100" s="148"/>
      <c r="G100" s="148"/>
      <c r="H100" s="148"/>
      <c r="I100" s="148"/>
      <c r="J100" s="148"/>
      <c r="K100" s="148"/>
      <c r="L100" s="148"/>
      <c r="M100" s="148"/>
      <c r="N100" s="148"/>
      <c r="O100" s="148"/>
      <c r="P100" s="148"/>
      <c r="Q100" s="148"/>
      <c r="R100" s="148"/>
      <c r="S100" s="148"/>
      <c r="T100" s="148"/>
      <c r="U100" s="148"/>
      <c r="V100" s="148"/>
    </row>
    <row r="101" spans="1:22" ht="12" customHeight="1" x14ac:dyDescent="0.2">
      <c r="A101" s="148" t="s">
        <v>195</v>
      </c>
      <c r="B101" s="148"/>
      <c r="C101" s="148"/>
      <c r="D101" s="148"/>
      <c r="E101" s="148"/>
      <c r="F101" s="148"/>
      <c r="G101" s="148"/>
      <c r="H101" s="148"/>
      <c r="I101" s="148"/>
      <c r="J101" s="148"/>
      <c r="K101" s="148"/>
      <c r="L101" s="148"/>
      <c r="M101" s="148"/>
      <c r="N101" s="148"/>
      <c r="O101" s="148"/>
      <c r="P101" s="148"/>
      <c r="Q101" s="148"/>
      <c r="R101" s="148"/>
      <c r="S101" s="148"/>
      <c r="T101" s="148"/>
      <c r="U101" s="148"/>
      <c r="V101" s="148"/>
    </row>
    <row r="102" spans="1:22" ht="12.75" customHeight="1" x14ac:dyDescent="0.2">
      <c r="A102" s="149" t="s">
        <v>196</v>
      </c>
      <c r="B102" s="149"/>
      <c r="C102" s="149"/>
      <c r="D102" s="149"/>
      <c r="E102" s="149"/>
      <c r="F102" s="149"/>
      <c r="G102" s="149"/>
      <c r="H102" s="149"/>
      <c r="I102" s="149"/>
      <c r="J102" s="149"/>
      <c r="K102" s="149"/>
      <c r="L102" s="149"/>
      <c r="M102" s="149"/>
      <c r="N102" s="149"/>
      <c r="O102" s="149"/>
      <c r="P102" s="149"/>
      <c r="Q102" s="149"/>
      <c r="R102" s="149"/>
      <c r="S102" s="149"/>
      <c r="T102" s="149"/>
      <c r="U102" s="149"/>
      <c r="V102" s="149"/>
    </row>
    <row r="103" spans="1:22" ht="12.75" customHeight="1" x14ac:dyDescent="0.2">
      <c r="A103" s="150" t="s">
        <v>197</v>
      </c>
      <c r="B103" s="150"/>
      <c r="C103" s="150"/>
      <c r="D103" s="150"/>
      <c r="E103" s="150"/>
      <c r="F103" s="150"/>
      <c r="G103" s="150"/>
      <c r="H103" s="150"/>
      <c r="I103" s="150"/>
      <c r="J103" s="150"/>
      <c r="K103" s="150"/>
      <c r="L103" s="150"/>
      <c r="M103" s="150"/>
      <c r="N103" s="150"/>
      <c r="O103" s="150"/>
      <c r="P103" s="150"/>
      <c r="Q103" s="150"/>
      <c r="R103" s="150"/>
      <c r="S103" s="150"/>
      <c r="T103" s="150"/>
      <c r="U103" s="150"/>
      <c r="V103" s="150"/>
    </row>
    <row r="104" spans="1:22" ht="12.75" customHeight="1" x14ac:dyDescent="0.2">
      <c r="A104" s="150" t="s">
        <v>198</v>
      </c>
      <c r="B104" s="150"/>
      <c r="C104" s="150"/>
      <c r="D104" s="150"/>
      <c r="E104" s="150"/>
      <c r="F104" s="150"/>
      <c r="G104" s="150"/>
      <c r="H104" s="150"/>
      <c r="I104" s="150"/>
      <c r="J104" s="150"/>
      <c r="K104" s="150"/>
      <c r="L104" s="150"/>
      <c r="M104" s="150"/>
      <c r="N104" s="150"/>
      <c r="O104" s="150"/>
      <c r="P104" s="150"/>
      <c r="Q104" s="150"/>
      <c r="R104" s="150"/>
      <c r="S104" s="150"/>
      <c r="T104" s="150"/>
      <c r="U104" s="150"/>
      <c r="V104" s="150"/>
    </row>
    <row r="105" spans="1:22" ht="12.75" customHeight="1" x14ac:dyDescent="0.2">
      <c r="A105" s="150" t="s">
        <v>199</v>
      </c>
      <c r="B105" s="150"/>
      <c r="C105" s="150"/>
      <c r="D105" s="150"/>
      <c r="E105" s="150"/>
      <c r="F105" s="150"/>
      <c r="G105" s="150"/>
      <c r="H105" s="150"/>
      <c r="I105" s="150"/>
      <c r="J105" s="150"/>
      <c r="K105" s="150"/>
      <c r="L105" s="150"/>
      <c r="M105" s="150"/>
      <c r="N105" s="150"/>
      <c r="O105" s="150"/>
      <c r="P105" s="150"/>
      <c r="Q105" s="150"/>
      <c r="R105" s="150"/>
      <c r="S105" s="150"/>
      <c r="T105" s="150"/>
      <c r="U105" s="150"/>
      <c r="V105" s="150"/>
    </row>
    <row r="106" spans="1:22" ht="12" customHeight="1" x14ac:dyDescent="0.2">
      <c r="A106" s="150" t="s">
        <v>200</v>
      </c>
      <c r="B106" s="150"/>
      <c r="C106" s="150"/>
      <c r="D106" s="150"/>
      <c r="E106" s="150"/>
      <c r="F106" s="150"/>
      <c r="G106" s="150"/>
      <c r="H106" s="150"/>
      <c r="I106" s="150"/>
      <c r="J106" s="150"/>
      <c r="K106" s="150"/>
      <c r="L106" s="150"/>
      <c r="M106" s="150"/>
      <c r="N106" s="150"/>
      <c r="O106" s="150"/>
      <c r="P106" s="150"/>
      <c r="Q106" s="150"/>
      <c r="R106" s="150"/>
      <c r="S106" s="150"/>
      <c r="T106" s="150"/>
      <c r="U106" s="150"/>
      <c r="V106" s="150"/>
    </row>
    <row r="107" spans="1:22" ht="7.5" customHeight="1" x14ac:dyDescent="0.2">
      <c r="A107" s="150"/>
      <c r="B107" s="150"/>
      <c r="C107" s="150"/>
      <c r="D107" s="150"/>
      <c r="E107" s="150"/>
      <c r="F107" s="150"/>
      <c r="G107" s="150"/>
      <c r="H107" s="150"/>
      <c r="I107" s="150"/>
      <c r="J107" s="150"/>
      <c r="K107" s="150"/>
      <c r="L107" s="150"/>
      <c r="M107" s="150"/>
      <c r="N107" s="150"/>
      <c r="O107" s="150"/>
      <c r="P107" s="150"/>
      <c r="Q107" s="150"/>
      <c r="R107" s="150"/>
      <c r="S107" s="150"/>
      <c r="T107" s="150"/>
      <c r="U107" s="150"/>
      <c r="V107" s="150"/>
    </row>
    <row r="108" spans="1:22" ht="12.75" customHeight="1" x14ac:dyDescent="0.2">
      <c r="A108" s="149" t="s">
        <v>201</v>
      </c>
      <c r="B108" s="149"/>
      <c r="C108" s="149"/>
      <c r="D108" s="149"/>
      <c r="E108" s="149"/>
      <c r="F108" s="149"/>
      <c r="G108" s="149"/>
      <c r="H108" s="149"/>
      <c r="I108" s="149"/>
      <c r="J108" s="149"/>
      <c r="K108" s="149"/>
      <c r="L108" s="149"/>
      <c r="M108" s="149"/>
      <c r="N108" s="149"/>
      <c r="O108" s="149"/>
      <c r="P108" s="149"/>
      <c r="Q108" s="149"/>
      <c r="R108" s="149"/>
      <c r="S108" s="149"/>
      <c r="T108" s="149"/>
      <c r="U108" s="149"/>
      <c r="V108" s="149"/>
    </row>
    <row r="109" spans="1:22" ht="12" customHeight="1" x14ac:dyDescent="0.2">
      <c r="A109" s="149" t="s">
        <v>202</v>
      </c>
      <c r="B109" s="149"/>
      <c r="C109" s="149"/>
      <c r="D109" s="149"/>
      <c r="E109" s="149"/>
      <c r="F109" s="149"/>
      <c r="G109" s="149"/>
      <c r="H109" s="149"/>
      <c r="I109" s="149"/>
      <c r="J109" s="149"/>
      <c r="K109" s="149"/>
      <c r="L109" s="149"/>
      <c r="M109" s="149"/>
      <c r="N109" s="149"/>
      <c r="O109" s="149"/>
      <c r="P109" s="149"/>
      <c r="Q109" s="149"/>
      <c r="R109" s="149"/>
      <c r="S109" s="149"/>
      <c r="T109" s="149"/>
      <c r="U109" s="149"/>
      <c r="V109" s="149"/>
    </row>
    <row r="110" spans="1:22" ht="12.75" customHeight="1" x14ac:dyDescent="0.2">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row>
  </sheetData>
  <mergeCells count="143">
    <mergeCell ref="S77:U77"/>
    <mergeCell ref="S78:U78"/>
    <mergeCell ref="S58:T58"/>
    <mergeCell ref="S59:T59"/>
    <mergeCell ref="S60:T60"/>
    <mergeCell ref="S61:T61"/>
    <mergeCell ref="S62:T62"/>
    <mergeCell ref="S63:T63"/>
    <mergeCell ref="S64:T64"/>
    <mergeCell ref="S56:T56"/>
    <mergeCell ref="S57:T57"/>
    <mergeCell ref="C75:K75"/>
    <mergeCell ref="C76:K76"/>
    <mergeCell ref="S65:T65"/>
    <mergeCell ref="S66:T66"/>
    <mergeCell ref="S67:T67"/>
    <mergeCell ref="S68:T68"/>
    <mergeCell ref="S69:T69"/>
    <mergeCell ref="S70:T70"/>
    <mergeCell ref="S75:U75"/>
    <mergeCell ref="S76:U76"/>
    <mergeCell ref="S74:V74"/>
    <mergeCell ref="S47:T47"/>
    <mergeCell ref="S48:T48"/>
    <mergeCell ref="S49:T49"/>
    <mergeCell ref="S50:T50"/>
    <mergeCell ref="S51:T51"/>
    <mergeCell ref="S52:T52"/>
    <mergeCell ref="S53:T53"/>
    <mergeCell ref="S54:T54"/>
    <mergeCell ref="S55:T55"/>
    <mergeCell ref="E85:U85"/>
    <mergeCell ref="A98:V98"/>
    <mergeCell ref="A87:V87"/>
    <mergeCell ref="A88:V88"/>
    <mergeCell ref="A95:V95"/>
    <mergeCell ref="A96:V96"/>
    <mergeCell ref="A97:V97"/>
    <mergeCell ref="A92:V92"/>
    <mergeCell ref="A93:V93"/>
    <mergeCell ref="A94:V94"/>
    <mergeCell ref="A89:V89"/>
    <mergeCell ref="A91:V91"/>
    <mergeCell ref="A85:D85"/>
    <mergeCell ref="A110:V110"/>
    <mergeCell ref="A99:V99"/>
    <mergeCell ref="A100:V100"/>
    <mergeCell ref="A101:V101"/>
    <mergeCell ref="A102:V102"/>
    <mergeCell ref="A103:V103"/>
    <mergeCell ref="A104:V104"/>
    <mergeCell ref="A105:V105"/>
    <mergeCell ref="A106:V106"/>
    <mergeCell ref="A107:V107"/>
    <mergeCell ref="A108:V108"/>
    <mergeCell ref="A109:V109"/>
    <mergeCell ref="D14:J14"/>
    <mergeCell ref="M12:N12"/>
    <mergeCell ref="A13:C13"/>
    <mergeCell ref="D13:J13"/>
    <mergeCell ref="M13:N13"/>
    <mergeCell ref="A12:D12"/>
    <mergeCell ref="S26:T26"/>
    <mergeCell ref="S27:T27"/>
    <mergeCell ref="S28:T28"/>
    <mergeCell ref="S20:T20"/>
    <mergeCell ref="S19:T19"/>
    <mergeCell ref="S21:T21"/>
    <mergeCell ref="S22:T22"/>
    <mergeCell ref="S23:T23"/>
    <mergeCell ref="S24:T24"/>
    <mergeCell ref="S25:T25"/>
    <mergeCell ref="A84:D84"/>
    <mergeCell ref="A83:D83"/>
    <mergeCell ref="L19:M19"/>
    <mergeCell ref="M17:N17"/>
    <mergeCell ref="E18:F18"/>
    <mergeCell ref="H18:L18"/>
    <mergeCell ref="A17:C17"/>
    <mergeCell ref="D17:J17"/>
    <mergeCell ref="C77:K77"/>
    <mergeCell ref="C78:K78"/>
    <mergeCell ref="E84:U84"/>
    <mergeCell ref="E83:U83"/>
    <mergeCell ref="O17:S17"/>
    <mergeCell ref="S35:T35"/>
    <mergeCell ref="S36:T36"/>
    <mergeCell ref="S37:T37"/>
    <mergeCell ref="S38:T38"/>
    <mergeCell ref="S39:T39"/>
    <mergeCell ref="C74:H74"/>
    <mergeCell ref="L74:M74"/>
    <mergeCell ref="S29:T29"/>
    <mergeCell ref="S30:T30"/>
    <mergeCell ref="S31:T31"/>
    <mergeCell ref="S32:T32"/>
    <mergeCell ref="M1:V1"/>
    <mergeCell ref="O4:S4"/>
    <mergeCell ref="O5:S5"/>
    <mergeCell ref="O6:S6"/>
    <mergeCell ref="O7:T7"/>
    <mergeCell ref="N9:S9"/>
    <mergeCell ref="M14:N14"/>
    <mergeCell ref="L80:M80"/>
    <mergeCell ref="N80:O80"/>
    <mergeCell ref="L79:M79"/>
    <mergeCell ref="N79:O79"/>
    <mergeCell ref="M15:N15"/>
    <mergeCell ref="M16:N16"/>
    <mergeCell ref="S33:T33"/>
    <mergeCell ref="S34:T34"/>
    <mergeCell ref="U20:V20"/>
    <mergeCell ref="U19:V19"/>
    <mergeCell ref="S40:T40"/>
    <mergeCell ref="S41:T41"/>
    <mergeCell ref="S42:T42"/>
    <mergeCell ref="S43:T43"/>
    <mergeCell ref="S44:T44"/>
    <mergeCell ref="S45:T45"/>
    <mergeCell ref="S46:T46"/>
    <mergeCell ref="A3:E3"/>
    <mergeCell ref="A4:G4"/>
    <mergeCell ref="M4:N4"/>
    <mergeCell ref="M5:N5"/>
    <mergeCell ref="O10:P10"/>
    <mergeCell ref="M6:N6"/>
    <mergeCell ref="M7:N7"/>
    <mergeCell ref="M8:N8"/>
    <mergeCell ref="O8:P8"/>
    <mergeCell ref="A5:G5"/>
    <mergeCell ref="A6:G6"/>
    <mergeCell ref="A7:G7"/>
    <mergeCell ref="A8:G8"/>
    <mergeCell ref="A9:G9"/>
    <mergeCell ref="O12:S12"/>
    <mergeCell ref="O13:S13"/>
    <mergeCell ref="A15:C15"/>
    <mergeCell ref="D15:J15"/>
    <mergeCell ref="A16:C16"/>
    <mergeCell ref="D16:J16"/>
    <mergeCell ref="C10:E10"/>
    <mergeCell ref="C11:G11"/>
    <mergeCell ref="A14:C14"/>
  </mergeCells>
  <dataValidations count="4">
    <dataValidation type="whole" allowBlank="1" showInputMessage="1" showErrorMessage="1" sqref="S11" xr:uid="{1BEA2523-23E1-4C4F-979C-1A5F43F0E6CD}">
      <formula1>1</formula1>
      <formula2>100</formula2>
    </dataValidation>
    <dataValidation type="list" allowBlank="1" showInputMessage="1" showErrorMessage="1" sqref="O11" xr:uid="{EA51534C-4DC9-1B46-BA67-1A438B03A3E9}">
      <formula1>"Credit, Cash"</formula1>
    </dataValidation>
    <dataValidation type="decimal" allowBlank="1" showInputMessage="1" showErrorMessage="1" sqref="O15:O16 N20:O72" xr:uid="{945330A1-A7C9-4F46-BAD1-C975723F950A}">
      <formula1>0</formula1>
      <formula2>100</formula2>
    </dataValidation>
    <dataValidation type="decimal" operator="greaterThanOrEqual" allowBlank="1" showInputMessage="1" showErrorMessage="1" sqref="K20:L72" xr:uid="{EA0CDBCA-7D50-8F40-AA8F-072FAFD228EA}">
      <formula1>0</formula1>
    </dataValidation>
  </dataValidations>
  <hyperlinks>
    <hyperlink ref="C10" r:id="rId1" xr:uid="{00000000-0004-0000-0000-000000000000}"/>
  </hyperlinks>
  <pageMargins left="0.7" right="0.7" top="0.75" bottom="0.75" header="0.3" footer="0.3"/>
  <pageSetup scale="49" orientation="portrait" r:id="rId2"/>
  <drawing r:id="rId3"/>
  <extLst>
    <ext xmlns:x14="http://schemas.microsoft.com/office/spreadsheetml/2009/9/main" uri="{CCE6A557-97BC-4b89-ADB6-D9C93CAAB3DF}">
      <x14:dataValidations xmlns:xm="http://schemas.microsoft.com/office/excel/2006/main" count="54">
        <x14:dataValidation type="list" allowBlank="1" showInputMessage="1" showErrorMessage="1" xr:uid="{881D3EE2-3570-E24A-BBF2-B56B03949F52}">
          <x14:formula1>
            <xm:f>MasterData!$E$1:$E$4</xm:f>
          </x14:formula1>
          <xm:sqref>H21</xm:sqref>
        </x14:dataValidation>
        <x14:dataValidation type="list" allowBlank="1" showInputMessage="1" showErrorMessage="1" xr:uid="{D0DADB23-4B19-1948-AD00-8D22164B0620}">
          <x14:formula1>
            <xm:f>MasterData!$B$1:$B$38</xm:f>
          </x14:formula1>
          <xm:sqref>I21:I70</xm:sqref>
        </x14:dataValidation>
        <x14:dataValidation type="list" allowBlank="1" showInputMessage="1" showErrorMessage="1" xr:uid="{25F7FA04-03F9-E541-9B7C-7258EBBD4F43}">
          <x14:formula1>
            <xm:f>MasterData!$E$5:$E$7</xm:f>
          </x14:formula1>
          <xm:sqref>H22</xm:sqref>
        </x14:dataValidation>
        <x14:dataValidation type="list" allowBlank="1" showInputMessage="1" showErrorMessage="1" xr:uid="{4629B802-FBE7-F445-942B-16E068FBCA98}">
          <x14:formula1>
            <xm:f>MasterData!$E$8:$E$10</xm:f>
          </x14:formula1>
          <xm:sqref>H23</xm:sqref>
        </x14:dataValidation>
        <x14:dataValidation type="list" allowBlank="1" showInputMessage="1" showErrorMessage="1" xr:uid="{BD8B08BE-8E7B-4749-8D6B-56840703D621}">
          <x14:formula1>
            <xm:f>MasterData!$E$11:$E$14</xm:f>
          </x14:formula1>
          <xm:sqref>H24</xm:sqref>
        </x14:dataValidation>
        <x14:dataValidation type="list" allowBlank="1" showInputMessage="1" showErrorMessage="1" xr:uid="{E03C0106-0B7E-CD41-A61C-5532D7E4E417}">
          <x14:formula1>
            <xm:f>MasterData!$E$15:$E$15</xm:f>
          </x14:formula1>
          <xm:sqref>H25</xm:sqref>
        </x14:dataValidation>
        <x14:dataValidation type="list" allowBlank="1" showInputMessage="1" showErrorMessage="1" xr:uid="{8BC25A3B-64C7-9F42-BDB0-E3F2C827E78F}">
          <x14:formula1>
            <xm:f>MasterData!$E$16:$E$17</xm:f>
          </x14:formula1>
          <xm:sqref>H26</xm:sqref>
        </x14:dataValidation>
        <x14:dataValidation type="list" allowBlank="1" showInputMessage="1" showErrorMessage="1" xr:uid="{14C02C88-FDA8-4D4D-A2B2-CE188C59F3E3}">
          <x14:formula1>
            <xm:f>MasterData!$E$18:$E$19</xm:f>
          </x14:formula1>
          <xm:sqref>H27</xm:sqref>
        </x14:dataValidation>
        <x14:dataValidation type="list" allowBlank="1" showInputMessage="1" showErrorMessage="1" xr:uid="{9455867E-5DD7-634C-81AF-9CA7103526FF}">
          <x14:formula1>
            <xm:f>MasterData!$E$20:$E$22</xm:f>
          </x14:formula1>
          <xm:sqref>H28</xm:sqref>
        </x14:dataValidation>
        <x14:dataValidation type="list" allowBlank="1" showInputMessage="1" showErrorMessage="1" xr:uid="{BE71D11C-897B-ED47-B58E-6D5D8874C427}">
          <x14:formula1>
            <xm:f>MasterData!$E$23:$E$25</xm:f>
          </x14:formula1>
          <xm:sqref>H29</xm:sqref>
        </x14:dataValidation>
        <x14:dataValidation type="list" allowBlank="1" showInputMessage="1" showErrorMessage="1" xr:uid="{142B92DB-1A34-4C42-9DDD-3FA1EB1A69A4}">
          <x14:formula1>
            <xm:f>MasterData!$E$26:$E$28</xm:f>
          </x14:formula1>
          <xm:sqref>H30</xm:sqref>
        </x14:dataValidation>
        <x14:dataValidation type="list" allowBlank="1" showInputMessage="1" showErrorMessage="1" xr:uid="{0654E874-5D0E-EA41-87F2-976966E030BE}">
          <x14:formula1>
            <xm:f>MasterData!$E$29:$E$31</xm:f>
          </x14:formula1>
          <xm:sqref>H31</xm:sqref>
        </x14:dataValidation>
        <x14:dataValidation type="list" allowBlank="1" showInputMessage="1" showErrorMessage="1" xr:uid="{A425EC9B-92CA-FE43-B4C0-7BF4C5262874}">
          <x14:formula1>
            <xm:f>MasterData!$E$32:$E$34</xm:f>
          </x14:formula1>
          <xm:sqref>H32</xm:sqref>
        </x14:dataValidation>
        <x14:dataValidation type="list" allowBlank="1" showInputMessage="1" showErrorMessage="1" xr:uid="{11E59B6E-67FF-B648-B462-98507B696656}">
          <x14:formula1>
            <xm:f>MasterData!$E$35:$E$37</xm:f>
          </x14:formula1>
          <xm:sqref>H33</xm:sqref>
        </x14:dataValidation>
        <x14:dataValidation type="list" allowBlank="1" showInputMessage="1" showErrorMessage="1" xr:uid="{D74495F1-EC70-1842-9EDB-AAC831EE2829}">
          <x14:formula1>
            <xm:f>MasterData!$E$38:$E$40</xm:f>
          </x14:formula1>
          <xm:sqref>H34</xm:sqref>
        </x14:dataValidation>
        <x14:dataValidation type="list" allowBlank="1" showInputMessage="1" showErrorMessage="1" xr:uid="{FFCBEF14-A420-5C48-94E5-D48AC6C425A0}">
          <x14:formula1>
            <xm:f>MasterData!$E$41:$E$43</xm:f>
          </x14:formula1>
          <xm:sqref>H35</xm:sqref>
        </x14:dataValidation>
        <x14:dataValidation type="list" allowBlank="1" showInputMessage="1" showErrorMessage="1" xr:uid="{DB0B276E-587F-8547-BFC8-03986F479EDB}">
          <x14:formula1>
            <xm:f>MasterData!$E$44:$E$46</xm:f>
          </x14:formula1>
          <xm:sqref>H36</xm:sqref>
        </x14:dataValidation>
        <x14:dataValidation type="list" allowBlank="1" showInputMessage="1" showErrorMessage="1" xr:uid="{FC1B0F6B-80A4-7548-B62B-58D638AC5B38}">
          <x14:formula1>
            <xm:f>MasterData!$E$47:$E$49</xm:f>
          </x14:formula1>
          <xm:sqref>H37</xm:sqref>
        </x14:dataValidation>
        <x14:dataValidation type="list" allowBlank="1" showInputMessage="1" showErrorMessage="1" xr:uid="{09A07A82-8ED5-D148-8232-B031B92E665C}">
          <x14:formula1>
            <xm:f>MasterData!$E$50:$E$52</xm:f>
          </x14:formula1>
          <xm:sqref>H38</xm:sqref>
        </x14:dataValidation>
        <x14:dataValidation type="list" allowBlank="1" showInputMessage="1" showErrorMessage="1" xr:uid="{D4B7D530-0811-AC4F-8D0D-966F5CAC6162}">
          <x14:formula1>
            <xm:f>MasterData!$E$53:$E$55</xm:f>
          </x14:formula1>
          <xm:sqref>H39</xm:sqref>
        </x14:dataValidation>
        <x14:dataValidation type="list" allowBlank="1" showInputMessage="1" showErrorMessage="1" xr:uid="{90792BB9-9D90-A24D-BAF2-F2E692827ED5}">
          <x14:formula1>
            <xm:f>MasterData!$E$56:$E$58</xm:f>
          </x14:formula1>
          <xm:sqref>H40</xm:sqref>
        </x14:dataValidation>
        <x14:dataValidation type="list" allowBlank="1" showInputMessage="1" showErrorMessage="1" xr:uid="{CD0B3159-1139-D146-94D8-023411D78748}">
          <x14:formula1>
            <xm:f>MasterData!$E$59:$E$61</xm:f>
          </x14:formula1>
          <xm:sqref>H41</xm:sqref>
        </x14:dataValidation>
        <x14:dataValidation type="list" allowBlank="1" showInputMessage="1" showErrorMessage="1" xr:uid="{95D0925E-A8E1-3C45-BB48-0CDEB0F06FBD}">
          <x14:formula1>
            <xm:f>MasterData!$E$62:$E$64</xm:f>
          </x14:formula1>
          <xm:sqref>H42</xm:sqref>
        </x14:dataValidation>
        <x14:dataValidation type="list" allowBlank="1" showInputMessage="1" showErrorMessage="1" xr:uid="{2D451AF4-7096-C141-A3DC-BF0772B2562F}">
          <x14:formula1>
            <xm:f>MasterData!$E$65:$E$67</xm:f>
          </x14:formula1>
          <xm:sqref>H43</xm:sqref>
        </x14:dataValidation>
        <x14:dataValidation type="list" allowBlank="1" showInputMessage="1" showErrorMessage="1" xr:uid="{2198D998-8EE8-AD4F-BEEC-98A734B258F6}">
          <x14:formula1>
            <xm:f>MasterData!$E$68:$E$70</xm:f>
          </x14:formula1>
          <xm:sqref>H44</xm:sqref>
        </x14:dataValidation>
        <x14:dataValidation type="list" allowBlank="1" showInputMessage="1" showErrorMessage="1" xr:uid="{1101D503-FEC6-F042-B50B-588913C9D238}">
          <x14:formula1>
            <xm:f>MasterData!$E$71:$E$73</xm:f>
          </x14:formula1>
          <xm:sqref>H45</xm:sqref>
        </x14:dataValidation>
        <x14:dataValidation type="list" allowBlank="1" showInputMessage="1" showErrorMessage="1" xr:uid="{25C24E49-A9EE-0548-939C-915C39F2A9B3}">
          <x14:formula1>
            <xm:f>MasterData!$E$74:$E$76</xm:f>
          </x14:formula1>
          <xm:sqref>H46</xm:sqref>
        </x14:dataValidation>
        <x14:dataValidation type="list" allowBlank="1" showInputMessage="1" showErrorMessage="1" xr:uid="{2EF72521-EC26-CE48-B355-59ABBA40ECF2}">
          <x14:formula1>
            <xm:f>MasterData!$E$77:$E$79</xm:f>
          </x14:formula1>
          <xm:sqref>H47</xm:sqref>
        </x14:dataValidation>
        <x14:dataValidation type="list" allowBlank="1" showInputMessage="1" showErrorMessage="1" xr:uid="{5CF4410D-6AA5-A64E-B1FE-64350DDC065D}">
          <x14:formula1>
            <xm:f>MasterData!$E$80:$E$82</xm:f>
          </x14:formula1>
          <xm:sqref>H48</xm:sqref>
        </x14:dataValidation>
        <x14:dataValidation type="list" allowBlank="1" showInputMessage="1" showErrorMessage="1" xr:uid="{B64DA559-08D4-BF42-AF3D-F02369B6D6FE}">
          <x14:formula1>
            <xm:f>MasterData!$E$83:$E$85</xm:f>
          </x14:formula1>
          <xm:sqref>H49</xm:sqref>
        </x14:dataValidation>
        <x14:dataValidation type="list" allowBlank="1" showInputMessage="1" showErrorMessage="1" xr:uid="{D3BC9795-5EFD-CA4F-8860-59D8E34DE8BB}">
          <x14:formula1>
            <xm:f>MasterData!$E$86:$E$88</xm:f>
          </x14:formula1>
          <xm:sqref>H50</xm:sqref>
        </x14:dataValidation>
        <x14:dataValidation type="list" allowBlank="1" showInputMessage="1" showErrorMessage="1" xr:uid="{6FE25491-3EFA-D049-9DE7-EFDAEC4E86B7}">
          <x14:formula1>
            <xm:f>MasterData!$E$89:$E$91</xm:f>
          </x14:formula1>
          <xm:sqref>H51</xm:sqref>
        </x14:dataValidation>
        <x14:dataValidation type="list" allowBlank="1" showInputMessage="1" showErrorMessage="1" xr:uid="{F15808FC-ED35-7940-AFED-842897E5F109}">
          <x14:formula1>
            <xm:f>MasterData!$E$92:$E$94</xm:f>
          </x14:formula1>
          <xm:sqref>H52</xm:sqref>
        </x14:dataValidation>
        <x14:dataValidation type="list" allowBlank="1" showInputMessage="1" showErrorMessage="1" xr:uid="{C0B260F2-F1F4-2747-BAE8-7FAC36761F8C}">
          <x14:formula1>
            <xm:f>MasterData!$E$95:$E$97</xm:f>
          </x14:formula1>
          <xm:sqref>H53</xm:sqref>
        </x14:dataValidation>
        <x14:dataValidation type="list" allowBlank="1" showInputMessage="1" showErrorMessage="1" xr:uid="{CCFF56B6-C73D-6146-BBBA-FC0CD8498E53}">
          <x14:formula1>
            <xm:f>MasterData!$E$98:$E$100</xm:f>
          </x14:formula1>
          <xm:sqref>H54</xm:sqref>
        </x14:dataValidation>
        <x14:dataValidation type="list" allowBlank="1" showInputMessage="1" showErrorMessage="1" xr:uid="{7B3C9CBA-A642-0A42-A27D-1F8A57298E24}">
          <x14:formula1>
            <xm:f>MasterData!$E$101:$E$103</xm:f>
          </x14:formula1>
          <xm:sqref>H55</xm:sqref>
        </x14:dataValidation>
        <x14:dataValidation type="list" allowBlank="1" showInputMessage="1" showErrorMessage="1" xr:uid="{67921E79-9627-0C42-83E5-84D3F12B170F}">
          <x14:formula1>
            <xm:f>MasterData!$E$104:$E$106</xm:f>
          </x14:formula1>
          <xm:sqref>H56</xm:sqref>
        </x14:dataValidation>
        <x14:dataValidation type="list" allowBlank="1" showInputMessage="1" showErrorMessage="1" xr:uid="{AB893E10-59DF-B348-B03E-7B76809DA906}">
          <x14:formula1>
            <xm:f>MasterData!$E$107:$E$109</xm:f>
          </x14:formula1>
          <xm:sqref>H57</xm:sqref>
        </x14:dataValidation>
        <x14:dataValidation type="list" allowBlank="1" showInputMessage="1" showErrorMessage="1" xr:uid="{818F8C6C-C209-8E48-A14B-D70AA2D90B49}">
          <x14:formula1>
            <xm:f>MasterData!$E$110:$E$112</xm:f>
          </x14:formula1>
          <xm:sqref>H58</xm:sqref>
        </x14:dataValidation>
        <x14:dataValidation type="list" allowBlank="1" showInputMessage="1" showErrorMessage="1" xr:uid="{315CD7F3-B3A6-9D43-925F-F9F7E761EBEB}">
          <x14:formula1>
            <xm:f>MasterData!$E$113:$E$115</xm:f>
          </x14:formula1>
          <xm:sqref>H59</xm:sqref>
        </x14:dataValidation>
        <x14:dataValidation type="list" allowBlank="1" showInputMessage="1" showErrorMessage="1" xr:uid="{5EB191A6-FF3C-114D-9905-590CE211E19B}">
          <x14:formula1>
            <xm:f>MasterData!$E$116:$E$118</xm:f>
          </x14:formula1>
          <xm:sqref>H60</xm:sqref>
        </x14:dataValidation>
        <x14:dataValidation type="list" allowBlank="1" showInputMessage="1" showErrorMessage="1" xr:uid="{B7F7669C-6379-B74F-8264-DB985010DFC8}">
          <x14:formula1>
            <xm:f>MasterData!$E$119:$E$121</xm:f>
          </x14:formula1>
          <xm:sqref>H61</xm:sqref>
        </x14:dataValidation>
        <x14:dataValidation type="list" allowBlank="1" showInputMessage="1" showErrorMessage="1" xr:uid="{34178E0F-4E64-B847-AB5F-492FF2903DE4}">
          <x14:formula1>
            <xm:f>MasterData!$E$122:$E$124</xm:f>
          </x14:formula1>
          <xm:sqref>H62</xm:sqref>
        </x14:dataValidation>
        <x14:dataValidation type="list" allowBlank="1" showInputMessage="1" showErrorMessage="1" xr:uid="{426EA0AD-3A35-8E49-BF2B-FE246272974D}">
          <x14:formula1>
            <xm:f>MasterData!$E$125:$E$127</xm:f>
          </x14:formula1>
          <xm:sqref>H63</xm:sqref>
        </x14:dataValidation>
        <x14:dataValidation type="list" allowBlank="1" showInputMessage="1" showErrorMessage="1" xr:uid="{CA558194-9505-4B44-AE56-98FC82727AF7}">
          <x14:formula1>
            <xm:f>MasterData!$E$128:$E$130</xm:f>
          </x14:formula1>
          <xm:sqref>H64</xm:sqref>
        </x14:dataValidation>
        <x14:dataValidation type="list" allowBlank="1" showInputMessage="1" showErrorMessage="1" xr:uid="{233E6CEA-8461-9A4A-B31A-591013CD94BE}">
          <x14:formula1>
            <xm:f>MasterData!$E$131:$E$133</xm:f>
          </x14:formula1>
          <xm:sqref>H65</xm:sqref>
        </x14:dataValidation>
        <x14:dataValidation type="list" allowBlank="1" showInputMessage="1" showErrorMessage="1" xr:uid="{AE6E4059-6DF3-A94D-A0A1-86001256DAC4}">
          <x14:formula1>
            <xm:f>MasterData!$E$134:$E$136</xm:f>
          </x14:formula1>
          <xm:sqref>H66</xm:sqref>
        </x14:dataValidation>
        <x14:dataValidation type="list" allowBlank="1" showInputMessage="1" showErrorMessage="1" xr:uid="{3B3E2222-BAFE-204F-A969-460195824DA1}">
          <x14:formula1>
            <xm:f>MasterData!$E$137:$E$139</xm:f>
          </x14:formula1>
          <xm:sqref>H67</xm:sqref>
        </x14:dataValidation>
        <x14:dataValidation type="list" allowBlank="1" showInputMessage="1" showErrorMessage="1" xr:uid="{EB64D095-7158-4840-AD90-D76F5F1A1990}">
          <x14:formula1>
            <xm:f>MasterData!$E$140:$E$142</xm:f>
          </x14:formula1>
          <xm:sqref>H68</xm:sqref>
        </x14:dataValidation>
        <x14:dataValidation type="list" allowBlank="1" showInputMessage="1" showErrorMessage="1" xr:uid="{CAA39A9B-0EE5-C34F-8CEC-54BEE0EF65EA}">
          <x14:formula1>
            <xm:f>MasterData!$E$143:$E$146</xm:f>
          </x14:formula1>
          <xm:sqref>H69</xm:sqref>
        </x14:dataValidation>
        <x14:dataValidation type="list" allowBlank="1" showInputMessage="1" showErrorMessage="1" xr:uid="{047A07C2-DDCF-0041-86CF-147213A39A6D}">
          <x14:formula1>
            <xm:f>MasterData!$E$147:$E$150</xm:f>
          </x14:formula1>
          <xm:sqref>H70</xm:sqref>
        </x14:dataValidation>
        <x14:dataValidation type="list" allowBlank="1" showInputMessage="1" showErrorMessage="1" xr:uid="{18F83A0F-31BF-A64B-9A3D-E88EC6863AF6}">
          <x14:formula1>
            <xm:f>MasterData!$H$1:$H$16</xm:f>
          </x14:formula1>
          <xm:sqref>C75:K78</xm:sqref>
        </x14:dataValidation>
        <x14:dataValidation type="list" allowBlank="1" showInputMessage="1" showErrorMessage="1" xr:uid="{BF217E05-C027-9742-94E9-B52B7CC9AB19}">
          <x14:formula1>
            <xm:f>MasterData!$O$1:$O$70</xm:f>
          </x14:formula1>
          <xm:sqref>O14</xm:sqref>
        </x14:dataValidation>
        <x14:dataValidation type="list" allowBlank="1" showInputMessage="1" showErrorMessage="1" xr:uid="{42B407D4-6E87-184D-A8D7-794180518AB7}">
          <x14:formula1>
            <xm:f>MasterData!$W$1:$W$11</xm:f>
          </x14:formula1>
          <xm:sqref>O13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50"/>
  <sheetViews>
    <sheetView topLeftCell="I1" workbookViewId="0">
      <selection activeCell="W40" sqref="W40"/>
    </sheetView>
  </sheetViews>
  <sheetFormatPr baseColWidth="10" defaultColWidth="8.83203125" defaultRowHeight="15" x14ac:dyDescent="0.2"/>
  <cols>
    <col min="1" max="12" width="9.1640625" customWidth="1"/>
    <col min="13" max="13" width="18.83203125" bestFit="1" customWidth="1"/>
    <col min="14" max="14" width="35.33203125" customWidth="1"/>
    <col min="15" max="17" width="9.1640625" customWidth="1"/>
  </cols>
  <sheetData>
    <row r="1" spans="1:23" x14ac:dyDescent="0.2">
      <c r="A1">
        <v>1000</v>
      </c>
      <c r="B1" t="s">
        <v>63</v>
      </c>
      <c r="D1">
        <v>5211205</v>
      </c>
      <c r="E1" t="s">
        <v>63</v>
      </c>
      <c r="G1">
        <v>1001307</v>
      </c>
      <c r="H1" t="s">
        <v>177</v>
      </c>
      <c r="M1" s="44" t="s">
        <v>203</v>
      </c>
      <c r="N1" s="45" t="s">
        <v>204</v>
      </c>
      <c r="O1" t="s">
        <v>205</v>
      </c>
      <c r="U1">
        <v>1001313</v>
      </c>
      <c r="V1" t="s">
        <v>206</v>
      </c>
      <c r="W1" t="s">
        <v>207</v>
      </c>
    </row>
    <row r="2" spans="1:23" x14ac:dyDescent="0.2">
      <c r="A2">
        <v>10002</v>
      </c>
      <c r="B2" t="s">
        <v>80</v>
      </c>
      <c r="D2">
        <v>10128579</v>
      </c>
      <c r="E2" t="s">
        <v>66</v>
      </c>
      <c r="G2">
        <v>1001310</v>
      </c>
      <c r="H2" t="s">
        <v>178</v>
      </c>
      <c r="M2" s="44" t="s">
        <v>208</v>
      </c>
      <c r="N2" s="45">
        <v>1023324037</v>
      </c>
      <c r="O2" t="s">
        <v>209</v>
      </c>
      <c r="U2">
        <v>1001314</v>
      </c>
      <c r="V2" t="s">
        <v>210</v>
      </c>
      <c r="W2" t="s">
        <v>211</v>
      </c>
    </row>
    <row r="3" spans="1:23" x14ac:dyDescent="0.2">
      <c r="A3">
        <v>10003</v>
      </c>
      <c r="B3" t="s">
        <v>76</v>
      </c>
      <c r="D3">
        <v>10128581</v>
      </c>
      <c r="E3" t="s">
        <v>76</v>
      </c>
      <c r="G3">
        <v>1012729</v>
      </c>
      <c r="H3" t="s">
        <v>212</v>
      </c>
      <c r="M3" s="44" t="s">
        <v>213</v>
      </c>
      <c r="N3" s="45">
        <v>99990000946377</v>
      </c>
      <c r="O3" t="s">
        <v>214</v>
      </c>
      <c r="U3">
        <v>1001315</v>
      </c>
      <c r="V3" t="s">
        <v>215</v>
      </c>
      <c r="W3" t="s">
        <v>216</v>
      </c>
    </row>
    <row r="4" spans="1:23" x14ac:dyDescent="0.2">
      <c r="A4">
        <v>10004</v>
      </c>
      <c r="B4" t="s">
        <v>217</v>
      </c>
      <c r="D4">
        <v>10128595</v>
      </c>
      <c r="E4" t="s">
        <v>80</v>
      </c>
      <c r="G4">
        <v>1012730</v>
      </c>
      <c r="H4" t="s">
        <v>218</v>
      </c>
      <c r="M4" s="44" t="s">
        <v>219</v>
      </c>
      <c r="N4" s="45">
        <v>1029091355</v>
      </c>
      <c r="O4" t="s">
        <v>220</v>
      </c>
      <c r="U4">
        <v>1001316</v>
      </c>
      <c r="V4" t="s">
        <v>221</v>
      </c>
      <c r="W4" t="s">
        <v>29</v>
      </c>
    </row>
    <row r="5" spans="1:23" x14ac:dyDescent="0.2">
      <c r="A5">
        <v>1001</v>
      </c>
      <c r="B5" t="s">
        <v>66</v>
      </c>
      <c r="D5">
        <v>99990022643514</v>
      </c>
      <c r="E5" t="s">
        <v>66</v>
      </c>
      <c r="G5">
        <v>1012731</v>
      </c>
      <c r="H5" t="s">
        <v>222</v>
      </c>
      <c r="M5" s="44" t="s">
        <v>223</v>
      </c>
      <c r="N5" s="45"/>
      <c r="O5" t="s">
        <v>224</v>
      </c>
      <c r="U5">
        <v>1001317</v>
      </c>
      <c r="V5" t="s">
        <v>225</v>
      </c>
      <c r="W5" t="s">
        <v>226</v>
      </c>
    </row>
    <row r="6" spans="1:23" x14ac:dyDescent="0.2">
      <c r="A6">
        <v>1005</v>
      </c>
      <c r="B6" t="s">
        <v>227</v>
      </c>
      <c r="D6">
        <v>10128582</v>
      </c>
      <c r="E6" t="s">
        <v>80</v>
      </c>
      <c r="G6">
        <v>1012732</v>
      </c>
      <c r="H6" t="s">
        <v>228</v>
      </c>
      <c r="M6" s="44" t="s">
        <v>229</v>
      </c>
      <c r="N6" s="45" t="s">
        <v>230</v>
      </c>
      <c r="O6" t="s">
        <v>231</v>
      </c>
      <c r="U6">
        <v>1001318</v>
      </c>
      <c r="V6" t="s">
        <v>232</v>
      </c>
      <c r="W6" t="s">
        <v>233</v>
      </c>
    </row>
    <row r="7" spans="1:23" x14ac:dyDescent="0.2">
      <c r="A7">
        <v>1006</v>
      </c>
      <c r="B7" t="s">
        <v>234</v>
      </c>
      <c r="D7">
        <v>10128600</v>
      </c>
      <c r="E7" t="s">
        <v>76</v>
      </c>
      <c r="G7">
        <v>1012733</v>
      </c>
      <c r="H7" t="s">
        <v>235</v>
      </c>
      <c r="M7" s="44" t="s">
        <v>236</v>
      </c>
      <c r="N7" s="45">
        <v>0</v>
      </c>
      <c r="O7" t="s">
        <v>237</v>
      </c>
      <c r="U7">
        <v>1001319</v>
      </c>
      <c r="V7" t="s">
        <v>238</v>
      </c>
      <c r="W7" t="s">
        <v>239</v>
      </c>
    </row>
    <row r="8" spans="1:23" x14ac:dyDescent="0.2">
      <c r="A8">
        <v>1007</v>
      </c>
      <c r="B8" t="s">
        <v>240</v>
      </c>
      <c r="D8">
        <v>6430941</v>
      </c>
      <c r="E8" t="s">
        <v>66</v>
      </c>
      <c r="G8">
        <v>1012735</v>
      </c>
      <c r="H8" t="s">
        <v>241</v>
      </c>
      <c r="O8" t="s">
        <v>242</v>
      </c>
      <c r="U8">
        <v>1001320</v>
      </c>
      <c r="V8" t="s">
        <v>243</v>
      </c>
      <c r="W8" t="s">
        <v>244</v>
      </c>
    </row>
    <row r="9" spans="1:23" x14ac:dyDescent="0.2">
      <c r="A9">
        <v>1008</v>
      </c>
      <c r="B9" t="s">
        <v>245</v>
      </c>
      <c r="D9">
        <v>10128582</v>
      </c>
      <c r="E9" t="s">
        <v>80</v>
      </c>
      <c r="G9">
        <v>1012736</v>
      </c>
      <c r="H9" t="s">
        <v>246</v>
      </c>
      <c r="O9" t="s">
        <v>247</v>
      </c>
      <c r="U9">
        <v>1001325</v>
      </c>
      <c r="V9" t="s">
        <v>248</v>
      </c>
      <c r="W9" t="s">
        <v>249</v>
      </c>
    </row>
    <row r="10" spans="1:23" x14ac:dyDescent="0.2">
      <c r="A10">
        <v>1009</v>
      </c>
      <c r="B10" t="s">
        <v>250</v>
      </c>
      <c r="D10">
        <v>10128600</v>
      </c>
      <c r="E10" t="s">
        <v>76</v>
      </c>
      <c r="G10">
        <v>1012737</v>
      </c>
      <c r="H10" t="s">
        <v>251</v>
      </c>
      <c r="O10" t="s">
        <v>252</v>
      </c>
      <c r="U10">
        <v>1020194</v>
      </c>
      <c r="V10" t="s">
        <v>253</v>
      </c>
      <c r="W10" t="s">
        <v>254</v>
      </c>
    </row>
    <row r="11" spans="1:23" x14ac:dyDescent="0.2">
      <c r="A11">
        <v>1010</v>
      </c>
      <c r="B11" t="s">
        <v>255</v>
      </c>
      <c r="D11">
        <v>5210921</v>
      </c>
      <c r="E11" t="s">
        <v>63</v>
      </c>
      <c r="G11">
        <v>1012740</v>
      </c>
      <c r="H11" t="s">
        <v>256</v>
      </c>
      <c r="O11" t="s">
        <v>257</v>
      </c>
      <c r="U11">
        <v>1020195</v>
      </c>
      <c r="V11" t="s">
        <v>258</v>
      </c>
      <c r="W11" t="s">
        <v>259</v>
      </c>
    </row>
    <row r="12" spans="1:23" x14ac:dyDescent="0.2">
      <c r="A12">
        <v>1011</v>
      </c>
      <c r="B12" t="s">
        <v>260</v>
      </c>
      <c r="D12">
        <v>10128579</v>
      </c>
      <c r="E12" t="s">
        <v>66</v>
      </c>
      <c r="G12">
        <v>1012741</v>
      </c>
      <c r="H12" t="s">
        <v>261</v>
      </c>
      <c r="O12" t="s">
        <v>262</v>
      </c>
    </row>
    <row r="13" spans="1:23" x14ac:dyDescent="0.2">
      <c r="A13">
        <v>1012</v>
      </c>
      <c r="B13" t="s">
        <v>263</v>
      </c>
      <c r="D13">
        <v>10128581</v>
      </c>
      <c r="E13" t="s">
        <v>76</v>
      </c>
      <c r="G13">
        <v>1012742</v>
      </c>
      <c r="H13" t="s">
        <v>264</v>
      </c>
      <c r="O13" t="s">
        <v>265</v>
      </c>
    </row>
    <row r="14" spans="1:23" x14ac:dyDescent="0.2">
      <c r="A14">
        <v>1013</v>
      </c>
      <c r="B14" t="s">
        <v>266</v>
      </c>
      <c r="D14">
        <v>10128595</v>
      </c>
      <c r="E14" t="s">
        <v>80</v>
      </c>
      <c r="G14">
        <v>1012743</v>
      </c>
      <c r="H14" t="s">
        <v>267</v>
      </c>
      <c r="O14" t="s">
        <v>268</v>
      </c>
    </row>
    <row r="15" spans="1:23" x14ac:dyDescent="0.2">
      <c r="A15">
        <v>1014</v>
      </c>
      <c r="B15" t="s">
        <v>269</v>
      </c>
      <c r="D15">
        <v>5210962</v>
      </c>
      <c r="E15" t="s">
        <v>76</v>
      </c>
      <c r="G15">
        <v>1012744</v>
      </c>
      <c r="H15" t="s">
        <v>270</v>
      </c>
      <c r="O15" t="s">
        <v>271</v>
      </c>
    </row>
    <row r="16" spans="1:23" x14ac:dyDescent="0.2">
      <c r="A16">
        <v>1015</v>
      </c>
      <c r="B16" t="s">
        <v>272</v>
      </c>
      <c r="D16">
        <v>5210456</v>
      </c>
      <c r="E16" t="s">
        <v>80</v>
      </c>
      <c r="G16">
        <v>1020032</v>
      </c>
      <c r="H16" t="s">
        <v>273</v>
      </c>
      <c r="O16" t="s">
        <v>274</v>
      </c>
    </row>
    <row r="17" spans="1:15" x14ac:dyDescent="0.2">
      <c r="A17">
        <v>400000</v>
      </c>
      <c r="B17" t="s">
        <v>63</v>
      </c>
      <c r="D17">
        <v>10128580</v>
      </c>
      <c r="E17" t="s">
        <v>76</v>
      </c>
      <c r="O17" t="s">
        <v>275</v>
      </c>
    </row>
    <row r="18" spans="1:15" x14ac:dyDescent="0.2">
      <c r="A18">
        <v>400001</v>
      </c>
      <c r="B18" t="s">
        <v>66</v>
      </c>
      <c r="D18">
        <v>5210478</v>
      </c>
      <c r="E18" t="s">
        <v>80</v>
      </c>
      <c r="O18" t="s">
        <v>276</v>
      </c>
    </row>
    <row r="19" spans="1:15" x14ac:dyDescent="0.2">
      <c r="A19">
        <v>400002</v>
      </c>
      <c r="B19" t="s">
        <v>80</v>
      </c>
      <c r="D19">
        <v>10128580</v>
      </c>
      <c r="E19" t="s">
        <v>76</v>
      </c>
      <c r="O19" t="s">
        <v>277</v>
      </c>
    </row>
    <row r="20" spans="1:15" x14ac:dyDescent="0.2">
      <c r="A20">
        <v>400003</v>
      </c>
      <c r="B20" t="s">
        <v>76</v>
      </c>
      <c r="D20">
        <v>5317838</v>
      </c>
      <c r="E20" t="s">
        <v>66</v>
      </c>
      <c r="O20" t="s">
        <v>278</v>
      </c>
    </row>
    <row r="21" spans="1:15" x14ac:dyDescent="0.2">
      <c r="A21">
        <v>400004</v>
      </c>
      <c r="B21" t="s">
        <v>217</v>
      </c>
      <c r="D21">
        <v>10128582</v>
      </c>
      <c r="E21" t="s">
        <v>80</v>
      </c>
      <c r="O21" t="s">
        <v>279</v>
      </c>
    </row>
    <row r="22" spans="1:15" x14ac:dyDescent="0.2">
      <c r="A22">
        <v>400005</v>
      </c>
      <c r="B22" t="s">
        <v>227</v>
      </c>
      <c r="D22">
        <v>10128600</v>
      </c>
      <c r="E22" t="s">
        <v>76</v>
      </c>
      <c r="O22" t="s">
        <v>280</v>
      </c>
    </row>
    <row r="23" spans="1:15" x14ac:dyDescent="0.2">
      <c r="A23">
        <v>400017</v>
      </c>
      <c r="B23" t="s">
        <v>281</v>
      </c>
      <c r="D23">
        <v>5210536</v>
      </c>
      <c r="E23" t="s">
        <v>66</v>
      </c>
      <c r="O23" t="s">
        <v>282</v>
      </c>
    </row>
    <row r="24" spans="1:15" x14ac:dyDescent="0.2">
      <c r="A24">
        <v>900009</v>
      </c>
      <c r="B24" t="s">
        <v>234</v>
      </c>
      <c r="D24">
        <v>10128582</v>
      </c>
      <c r="E24" t="s">
        <v>80</v>
      </c>
      <c r="O24" t="s">
        <v>283</v>
      </c>
    </row>
    <row r="25" spans="1:15" x14ac:dyDescent="0.2">
      <c r="A25">
        <v>900010</v>
      </c>
      <c r="B25" t="s">
        <v>240</v>
      </c>
      <c r="D25">
        <v>10128600</v>
      </c>
      <c r="E25" t="s">
        <v>76</v>
      </c>
      <c r="O25" t="s">
        <v>284</v>
      </c>
    </row>
    <row r="26" spans="1:15" x14ac:dyDescent="0.2">
      <c r="A26">
        <v>900011</v>
      </c>
      <c r="B26" t="s">
        <v>285</v>
      </c>
      <c r="D26">
        <v>5210538</v>
      </c>
      <c r="E26" t="s">
        <v>66</v>
      </c>
      <c r="O26" t="s">
        <v>286</v>
      </c>
    </row>
    <row r="27" spans="1:15" x14ac:dyDescent="0.2">
      <c r="A27">
        <v>900012</v>
      </c>
      <c r="B27" t="s">
        <v>287</v>
      </c>
      <c r="D27">
        <v>10128582</v>
      </c>
      <c r="E27" t="s">
        <v>80</v>
      </c>
      <c r="O27" t="s">
        <v>288</v>
      </c>
    </row>
    <row r="28" spans="1:15" x14ac:dyDescent="0.2">
      <c r="A28">
        <v>900013</v>
      </c>
      <c r="B28" t="s">
        <v>289</v>
      </c>
      <c r="D28">
        <v>10128600</v>
      </c>
      <c r="E28" t="s">
        <v>76</v>
      </c>
      <c r="O28" t="s">
        <v>290</v>
      </c>
    </row>
    <row r="29" spans="1:15" x14ac:dyDescent="0.2">
      <c r="A29">
        <v>900014</v>
      </c>
      <c r="B29" t="s">
        <v>245</v>
      </c>
      <c r="D29">
        <v>5210544</v>
      </c>
      <c r="E29" t="s">
        <v>66</v>
      </c>
      <c r="O29" t="s">
        <v>291</v>
      </c>
    </row>
    <row r="30" spans="1:15" x14ac:dyDescent="0.2">
      <c r="A30">
        <v>900073</v>
      </c>
      <c r="B30" t="s">
        <v>250</v>
      </c>
      <c r="D30">
        <v>10128582</v>
      </c>
      <c r="E30" t="s">
        <v>80</v>
      </c>
      <c r="O30" t="s">
        <v>292</v>
      </c>
    </row>
    <row r="31" spans="1:15" x14ac:dyDescent="0.2">
      <c r="A31">
        <v>9957</v>
      </c>
      <c r="B31" t="s">
        <v>293</v>
      </c>
      <c r="D31">
        <v>10128600</v>
      </c>
      <c r="E31" t="s">
        <v>76</v>
      </c>
      <c r="O31" t="s">
        <v>294</v>
      </c>
    </row>
    <row r="32" spans="1:15" x14ac:dyDescent="0.2">
      <c r="A32">
        <v>9975</v>
      </c>
      <c r="B32" t="s">
        <v>295</v>
      </c>
      <c r="D32">
        <v>5210589</v>
      </c>
      <c r="E32" t="s">
        <v>66</v>
      </c>
      <c r="O32" t="s">
        <v>296</v>
      </c>
    </row>
    <row r="33" spans="1:15" x14ac:dyDescent="0.2">
      <c r="A33">
        <v>9976</v>
      </c>
      <c r="B33" t="s">
        <v>297</v>
      </c>
      <c r="D33">
        <v>10128582</v>
      </c>
      <c r="E33" t="s">
        <v>80</v>
      </c>
      <c r="O33" t="s">
        <v>298</v>
      </c>
    </row>
    <row r="34" spans="1:15" x14ac:dyDescent="0.2">
      <c r="A34">
        <v>9977</v>
      </c>
      <c r="B34" t="s">
        <v>299</v>
      </c>
      <c r="D34">
        <v>10128600</v>
      </c>
      <c r="E34" t="s">
        <v>76</v>
      </c>
      <c r="O34" t="s">
        <v>300</v>
      </c>
    </row>
    <row r="35" spans="1:15" x14ac:dyDescent="0.2">
      <c r="A35">
        <v>9978</v>
      </c>
      <c r="B35" t="s">
        <v>301</v>
      </c>
      <c r="D35">
        <v>5317256</v>
      </c>
      <c r="E35" t="s">
        <v>66</v>
      </c>
      <c r="O35" t="s">
        <v>302</v>
      </c>
    </row>
    <row r="36" spans="1:15" x14ac:dyDescent="0.2">
      <c r="A36">
        <v>9979</v>
      </c>
      <c r="B36" t="s">
        <v>255</v>
      </c>
      <c r="D36">
        <v>10128582</v>
      </c>
      <c r="E36" t="s">
        <v>80</v>
      </c>
      <c r="O36" t="s">
        <v>303</v>
      </c>
    </row>
    <row r="37" spans="1:15" x14ac:dyDescent="0.2">
      <c r="A37">
        <v>9987</v>
      </c>
      <c r="B37" t="s">
        <v>304</v>
      </c>
      <c r="D37">
        <v>10128600</v>
      </c>
      <c r="E37" t="s">
        <v>76</v>
      </c>
      <c r="O37" t="s">
        <v>305</v>
      </c>
    </row>
    <row r="38" spans="1:15" x14ac:dyDescent="0.2">
      <c r="D38">
        <v>6807270</v>
      </c>
      <c r="E38" t="s">
        <v>66</v>
      </c>
      <c r="O38" t="s">
        <v>306</v>
      </c>
    </row>
    <row r="39" spans="1:15" x14ac:dyDescent="0.2">
      <c r="D39">
        <v>10128582</v>
      </c>
      <c r="E39" t="s">
        <v>80</v>
      </c>
      <c r="O39" t="s">
        <v>307</v>
      </c>
    </row>
    <row r="40" spans="1:15" x14ac:dyDescent="0.2">
      <c r="D40">
        <v>10128600</v>
      </c>
      <c r="E40" t="s">
        <v>76</v>
      </c>
      <c r="O40" t="s">
        <v>308</v>
      </c>
    </row>
    <row r="41" spans="1:15" x14ac:dyDescent="0.2">
      <c r="D41">
        <v>5210661</v>
      </c>
      <c r="E41" t="s">
        <v>66</v>
      </c>
      <c r="O41" t="s">
        <v>309</v>
      </c>
    </row>
    <row r="42" spans="1:15" x14ac:dyDescent="0.2">
      <c r="D42">
        <v>10128582</v>
      </c>
      <c r="E42" t="s">
        <v>80</v>
      </c>
      <c r="O42" t="s">
        <v>310</v>
      </c>
    </row>
    <row r="43" spans="1:15" x14ac:dyDescent="0.2">
      <c r="D43">
        <v>10128600</v>
      </c>
      <c r="E43" t="s">
        <v>76</v>
      </c>
      <c r="O43" t="s">
        <v>311</v>
      </c>
    </row>
    <row r="44" spans="1:15" x14ac:dyDescent="0.2">
      <c r="D44">
        <v>5210672</v>
      </c>
      <c r="E44" t="s">
        <v>66</v>
      </c>
      <c r="O44" t="s">
        <v>312</v>
      </c>
    </row>
    <row r="45" spans="1:15" x14ac:dyDescent="0.2">
      <c r="D45">
        <v>10128582</v>
      </c>
      <c r="E45" t="s">
        <v>80</v>
      </c>
      <c r="O45" t="s">
        <v>313</v>
      </c>
    </row>
    <row r="46" spans="1:15" x14ac:dyDescent="0.2">
      <c r="D46">
        <v>10128600</v>
      </c>
      <c r="E46" t="s">
        <v>76</v>
      </c>
      <c r="O46" t="s">
        <v>314</v>
      </c>
    </row>
    <row r="47" spans="1:15" x14ac:dyDescent="0.2">
      <c r="D47">
        <v>5210532</v>
      </c>
      <c r="E47" t="s">
        <v>66</v>
      </c>
      <c r="O47" t="s">
        <v>315</v>
      </c>
    </row>
    <row r="48" spans="1:15" x14ac:dyDescent="0.2">
      <c r="D48">
        <v>10128582</v>
      </c>
      <c r="E48" t="s">
        <v>80</v>
      </c>
      <c r="O48" t="s">
        <v>316</v>
      </c>
    </row>
    <row r="49" spans="4:15" x14ac:dyDescent="0.2">
      <c r="D49">
        <v>10128600</v>
      </c>
      <c r="E49" t="s">
        <v>76</v>
      </c>
      <c r="O49" t="s">
        <v>317</v>
      </c>
    </row>
    <row r="50" spans="4:15" x14ac:dyDescent="0.2">
      <c r="D50">
        <v>5210692</v>
      </c>
      <c r="E50" t="s">
        <v>66</v>
      </c>
      <c r="O50" t="s">
        <v>318</v>
      </c>
    </row>
    <row r="51" spans="4:15" x14ac:dyDescent="0.2">
      <c r="D51">
        <v>10128582</v>
      </c>
      <c r="E51" t="s">
        <v>80</v>
      </c>
      <c r="O51" t="s">
        <v>319</v>
      </c>
    </row>
    <row r="52" spans="4:15" x14ac:dyDescent="0.2">
      <c r="D52">
        <v>10128600</v>
      </c>
      <c r="E52" t="s">
        <v>76</v>
      </c>
      <c r="O52" t="s">
        <v>320</v>
      </c>
    </row>
    <row r="53" spans="4:15" x14ac:dyDescent="0.2">
      <c r="D53">
        <v>5210701</v>
      </c>
      <c r="E53" t="s">
        <v>66</v>
      </c>
      <c r="O53" t="s">
        <v>321</v>
      </c>
    </row>
    <row r="54" spans="4:15" x14ac:dyDescent="0.2">
      <c r="D54">
        <v>10128582</v>
      </c>
      <c r="E54" t="s">
        <v>80</v>
      </c>
      <c r="O54" t="s">
        <v>322</v>
      </c>
    </row>
    <row r="55" spans="4:15" x14ac:dyDescent="0.2">
      <c r="D55">
        <v>10128600</v>
      </c>
      <c r="E55" t="s">
        <v>76</v>
      </c>
      <c r="O55" t="s">
        <v>323</v>
      </c>
    </row>
    <row r="56" spans="4:15" x14ac:dyDescent="0.2">
      <c r="D56">
        <v>5210767</v>
      </c>
      <c r="E56" t="s">
        <v>66</v>
      </c>
      <c r="O56" t="s">
        <v>324</v>
      </c>
    </row>
    <row r="57" spans="4:15" x14ac:dyDescent="0.2">
      <c r="D57">
        <v>10128582</v>
      </c>
      <c r="E57" t="s">
        <v>80</v>
      </c>
      <c r="O57" t="s">
        <v>325</v>
      </c>
    </row>
    <row r="58" spans="4:15" x14ac:dyDescent="0.2">
      <c r="D58">
        <v>10128600</v>
      </c>
      <c r="E58" t="s">
        <v>76</v>
      </c>
      <c r="O58" t="s">
        <v>326</v>
      </c>
    </row>
    <row r="59" spans="4:15" x14ac:dyDescent="0.2">
      <c r="D59">
        <v>5210771</v>
      </c>
      <c r="E59" t="s">
        <v>66</v>
      </c>
      <c r="O59" t="s">
        <v>327</v>
      </c>
    </row>
    <row r="60" spans="4:15" x14ac:dyDescent="0.2">
      <c r="D60">
        <v>10128582</v>
      </c>
      <c r="E60" t="s">
        <v>80</v>
      </c>
      <c r="O60" t="s">
        <v>328</v>
      </c>
    </row>
    <row r="61" spans="4:15" x14ac:dyDescent="0.2">
      <c r="D61">
        <v>10128600</v>
      </c>
      <c r="E61" t="s">
        <v>76</v>
      </c>
      <c r="O61" t="s">
        <v>329</v>
      </c>
    </row>
    <row r="62" spans="4:15" x14ac:dyDescent="0.2">
      <c r="D62">
        <v>5210788</v>
      </c>
      <c r="E62" t="s">
        <v>66</v>
      </c>
      <c r="O62" t="s">
        <v>330</v>
      </c>
    </row>
    <row r="63" spans="4:15" x14ac:dyDescent="0.2">
      <c r="D63">
        <v>10128582</v>
      </c>
      <c r="E63" t="s">
        <v>80</v>
      </c>
      <c r="O63" t="s">
        <v>331</v>
      </c>
    </row>
    <row r="64" spans="4:15" x14ac:dyDescent="0.2">
      <c r="D64">
        <v>10128600</v>
      </c>
      <c r="E64" t="s">
        <v>76</v>
      </c>
      <c r="O64" t="s">
        <v>33</v>
      </c>
    </row>
    <row r="65" spans="4:15" x14ac:dyDescent="0.2">
      <c r="D65">
        <v>5210537</v>
      </c>
      <c r="E65" t="s">
        <v>66</v>
      </c>
      <c r="O65" t="s">
        <v>332</v>
      </c>
    </row>
    <row r="66" spans="4:15" x14ac:dyDescent="0.2">
      <c r="D66">
        <v>10128582</v>
      </c>
      <c r="E66" t="s">
        <v>80</v>
      </c>
      <c r="O66" t="s">
        <v>333</v>
      </c>
    </row>
    <row r="67" spans="4:15" x14ac:dyDescent="0.2">
      <c r="D67">
        <v>10128600</v>
      </c>
      <c r="E67" t="s">
        <v>76</v>
      </c>
      <c r="O67" t="s">
        <v>334</v>
      </c>
    </row>
    <row r="68" spans="4:15" x14ac:dyDescent="0.2">
      <c r="D68">
        <v>5210571</v>
      </c>
      <c r="E68" t="s">
        <v>66</v>
      </c>
      <c r="O68" t="s">
        <v>335</v>
      </c>
    </row>
    <row r="69" spans="4:15" x14ac:dyDescent="0.2">
      <c r="D69">
        <v>10128582</v>
      </c>
      <c r="E69" t="s">
        <v>80</v>
      </c>
      <c r="O69" t="s">
        <v>336</v>
      </c>
    </row>
    <row r="70" spans="4:15" x14ac:dyDescent="0.2">
      <c r="D70">
        <v>10128600</v>
      </c>
      <c r="E70" t="s">
        <v>76</v>
      </c>
      <c r="O70" t="s">
        <v>337</v>
      </c>
    </row>
    <row r="71" spans="4:15" x14ac:dyDescent="0.2">
      <c r="D71">
        <v>5210574</v>
      </c>
      <c r="E71" t="s">
        <v>66</v>
      </c>
    </row>
    <row r="72" spans="4:15" x14ac:dyDescent="0.2">
      <c r="D72">
        <v>10128582</v>
      </c>
      <c r="E72" t="s">
        <v>80</v>
      </c>
    </row>
    <row r="73" spans="4:15" x14ac:dyDescent="0.2">
      <c r="D73">
        <v>10128600</v>
      </c>
      <c r="E73" t="s">
        <v>76</v>
      </c>
    </row>
    <row r="74" spans="4:15" x14ac:dyDescent="0.2">
      <c r="D74">
        <v>5210578</v>
      </c>
      <c r="E74" t="s">
        <v>66</v>
      </c>
    </row>
    <row r="75" spans="4:15" x14ac:dyDescent="0.2">
      <c r="D75">
        <v>10128582</v>
      </c>
      <c r="E75" t="s">
        <v>80</v>
      </c>
    </row>
    <row r="76" spans="4:15" x14ac:dyDescent="0.2">
      <c r="D76">
        <v>10128600</v>
      </c>
      <c r="E76" t="s">
        <v>76</v>
      </c>
    </row>
    <row r="77" spans="4:15" x14ac:dyDescent="0.2">
      <c r="D77">
        <v>5210582</v>
      </c>
      <c r="E77" t="s">
        <v>66</v>
      </c>
    </row>
    <row r="78" spans="4:15" x14ac:dyDescent="0.2">
      <c r="D78">
        <v>10128582</v>
      </c>
      <c r="E78" t="s">
        <v>80</v>
      </c>
    </row>
    <row r="79" spans="4:15" x14ac:dyDescent="0.2">
      <c r="D79">
        <v>10128600</v>
      </c>
      <c r="E79" t="s">
        <v>76</v>
      </c>
    </row>
    <row r="80" spans="4:15" x14ac:dyDescent="0.2">
      <c r="D80">
        <v>5210827</v>
      </c>
      <c r="E80" t="s">
        <v>66</v>
      </c>
    </row>
    <row r="81" spans="4:5" x14ac:dyDescent="0.2">
      <c r="D81">
        <v>10128582</v>
      </c>
      <c r="E81" t="s">
        <v>80</v>
      </c>
    </row>
    <row r="82" spans="4:5" x14ac:dyDescent="0.2">
      <c r="D82">
        <v>10128600</v>
      </c>
      <c r="E82" t="s">
        <v>76</v>
      </c>
    </row>
    <row r="83" spans="4:5" x14ac:dyDescent="0.2">
      <c r="D83">
        <v>5210588</v>
      </c>
      <c r="E83" t="s">
        <v>66</v>
      </c>
    </row>
    <row r="84" spans="4:5" x14ac:dyDescent="0.2">
      <c r="D84">
        <v>10128582</v>
      </c>
      <c r="E84" t="s">
        <v>80</v>
      </c>
    </row>
    <row r="85" spans="4:5" x14ac:dyDescent="0.2">
      <c r="D85">
        <v>10128600</v>
      </c>
      <c r="E85" t="s">
        <v>76</v>
      </c>
    </row>
    <row r="86" spans="4:5" x14ac:dyDescent="0.2">
      <c r="D86">
        <v>5210591</v>
      </c>
      <c r="E86" t="s">
        <v>66</v>
      </c>
    </row>
    <row r="87" spans="4:5" x14ac:dyDescent="0.2">
      <c r="D87">
        <v>10128582</v>
      </c>
      <c r="E87" t="s">
        <v>80</v>
      </c>
    </row>
    <row r="88" spans="4:5" x14ac:dyDescent="0.2">
      <c r="D88">
        <v>10128600</v>
      </c>
      <c r="E88" t="s">
        <v>76</v>
      </c>
    </row>
    <row r="89" spans="4:5" x14ac:dyDescent="0.2">
      <c r="D89">
        <v>5210594</v>
      </c>
      <c r="E89" t="s">
        <v>66</v>
      </c>
    </row>
    <row r="90" spans="4:5" x14ac:dyDescent="0.2">
      <c r="D90">
        <v>10128582</v>
      </c>
      <c r="E90" t="s">
        <v>80</v>
      </c>
    </row>
    <row r="91" spans="4:5" x14ac:dyDescent="0.2">
      <c r="D91">
        <v>10128600</v>
      </c>
      <c r="E91" t="s">
        <v>76</v>
      </c>
    </row>
    <row r="92" spans="4:5" x14ac:dyDescent="0.2">
      <c r="D92">
        <v>5210596</v>
      </c>
      <c r="E92" t="s">
        <v>66</v>
      </c>
    </row>
    <row r="93" spans="4:5" x14ac:dyDescent="0.2">
      <c r="D93">
        <v>10128582</v>
      </c>
      <c r="E93" t="s">
        <v>80</v>
      </c>
    </row>
    <row r="94" spans="4:5" x14ac:dyDescent="0.2">
      <c r="D94">
        <v>10128600</v>
      </c>
      <c r="E94" t="s">
        <v>76</v>
      </c>
    </row>
    <row r="95" spans="4:5" x14ac:dyDescent="0.2">
      <c r="D95">
        <v>5210597</v>
      </c>
      <c r="E95" t="s">
        <v>66</v>
      </c>
    </row>
    <row r="96" spans="4:5" x14ac:dyDescent="0.2">
      <c r="D96">
        <v>10128582</v>
      </c>
      <c r="E96" t="s">
        <v>80</v>
      </c>
    </row>
    <row r="97" spans="4:5" x14ac:dyDescent="0.2">
      <c r="D97">
        <v>10128600</v>
      </c>
      <c r="E97" t="s">
        <v>76</v>
      </c>
    </row>
    <row r="98" spans="4:5" x14ac:dyDescent="0.2">
      <c r="D98">
        <v>5210622</v>
      </c>
      <c r="E98" t="s">
        <v>66</v>
      </c>
    </row>
    <row r="99" spans="4:5" x14ac:dyDescent="0.2">
      <c r="D99">
        <v>10128582</v>
      </c>
      <c r="E99" t="s">
        <v>80</v>
      </c>
    </row>
    <row r="100" spans="4:5" x14ac:dyDescent="0.2">
      <c r="D100">
        <v>10128600</v>
      </c>
      <c r="E100" t="s">
        <v>76</v>
      </c>
    </row>
    <row r="101" spans="4:5" x14ac:dyDescent="0.2">
      <c r="D101">
        <v>5210636</v>
      </c>
      <c r="E101" t="s">
        <v>66</v>
      </c>
    </row>
    <row r="102" spans="4:5" x14ac:dyDescent="0.2">
      <c r="D102">
        <v>10128582</v>
      </c>
      <c r="E102" t="s">
        <v>80</v>
      </c>
    </row>
    <row r="103" spans="4:5" x14ac:dyDescent="0.2">
      <c r="D103">
        <v>10128600</v>
      </c>
      <c r="E103" t="s">
        <v>76</v>
      </c>
    </row>
    <row r="104" spans="4:5" x14ac:dyDescent="0.2">
      <c r="D104">
        <v>5210648</v>
      </c>
      <c r="E104" t="s">
        <v>66</v>
      </c>
    </row>
    <row r="105" spans="4:5" x14ac:dyDescent="0.2">
      <c r="D105">
        <v>10128582</v>
      </c>
      <c r="E105" t="s">
        <v>80</v>
      </c>
    </row>
    <row r="106" spans="4:5" x14ac:dyDescent="0.2">
      <c r="D106">
        <v>10128600</v>
      </c>
      <c r="E106" t="s">
        <v>76</v>
      </c>
    </row>
    <row r="107" spans="4:5" x14ac:dyDescent="0.2">
      <c r="D107">
        <v>5210654</v>
      </c>
      <c r="E107" t="s">
        <v>66</v>
      </c>
    </row>
    <row r="108" spans="4:5" x14ac:dyDescent="0.2">
      <c r="D108">
        <v>10128582</v>
      </c>
      <c r="E108" t="s">
        <v>80</v>
      </c>
    </row>
    <row r="109" spans="4:5" x14ac:dyDescent="0.2">
      <c r="D109">
        <v>10128600</v>
      </c>
      <c r="E109" t="s">
        <v>76</v>
      </c>
    </row>
    <row r="110" spans="4:5" x14ac:dyDescent="0.2">
      <c r="D110">
        <v>6085413</v>
      </c>
      <c r="E110" t="s">
        <v>66</v>
      </c>
    </row>
    <row r="111" spans="4:5" x14ac:dyDescent="0.2">
      <c r="D111">
        <v>10128582</v>
      </c>
      <c r="E111" t="s">
        <v>80</v>
      </c>
    </row>
    <row r="112" spans="4:5" x14ac:dyDescent="0.2">
      <c r="D112">
        <v>10128600</v>
      </c>
      <c r="E112" t="s">
        <v>76</v>
      </c>
    </row>
    <row r="113" spans="4:5" x14ac:dyDescent="0.2">
      <c r="D113">
        <v>5210665</v>
      </c>
      <c r="E113" t="s">
        <v>66</v>
      </c>
    </row>
    <row r="114" spans="4:5" x14ac:dyDescent="0.2">
      <c r="D114">
        <v>10128582</v>
      </c>
      <c r="E114" t="s">
        <v>80</v>
      </c>
    </row>
    <row r="115" spans="4:5" x14ac:dyDescent="0.2">
      <c r="D115">
        <v>10128600</v>
      </c>
      <c r="E115" t="s">
        <v>76</v>
      </c>
    </row>
    <row r="116" spans="4:5" x14ac:dyDescent="0.2">
      <c r="D116">
        <v>5210691</v>
      </c>
      <c r="E116" t="s">
        <v>66</v>
      </c>
    </row>
    <row r="117" spans="4:5" x14ac:dyDescent="0.2">
      <c r="D117">
        <v>10128582</v>
      </c>
      <c r="E117" t="s">
        <v>80</v>
      </c>
    </row>
    <row r="118" spans="4:5" x14ac:dyDescent="0.2">
      <c r="D118">
        <v>10128600</v>
      </c>
      <c r="E118" t="s">
        <v>76</v>
      </c>
    </row>
    <row r="119" spans="4:5" x14ac:dyDescent="0.2">
      <c r="D119">
        <v>5557767</v>
      </c>
      <c r="E119" t="s">
        <v>66</v>
      </c>
    </row>
    <row r="120" spans="4:5" x14ac:dyDescent="0.2">
      <c r="D120">
        <v>10128582</v>
      </c>
      <c r="E120" t="s">
        <v>80</v>
      </c>
    </row>
    <row r="121" spans="4:5" x14ac:dyDescent="0.2">
      <c r="D121">
        <v>10128600</v>
      </c>
      <c r="E121" t="s">
        <v>76</v>
      </c>
    </row>
    <row r="122" spans="4:5" x14ac:dyDescent="0.2">
      <c r="D122">
        <v>5210727</v>
      </c>
      <c r="E122" t="s">
        <v>66</v>
      </c>
    </row>
    <row r="123" spans="4:5" x14ac:dyDescent="0.2">
      <c r="D123">
        <v>10128582</v>
      </c>
      <c r="E123" t="s">
        <v>80</v>
      </c>
    </row>
    <row r="124" spans="4:5" x14ac:dyDescent="0.2">
      <c r="D124">
        <v>10128600</v>
      </c>
      <c r="E124" t="s">
        <v>76</v>
      </c>
    </row>
    <row r="125" spans="4:5" x14ac:dyDescent="0.2">
      <c r="D125">
        <v>5210730</v>
      </c>
      <c r="E125" t="s">
        <v>66</v>
      </c>
    </row>
    <row r="126" spans="4:5" x14ac:dyDescent="0.2">
      <c r="D126">
        <v>10128582</v>
      </c>
      <c r="E126" t="s">
        <v>80</v>
      </c>
    </row>
    <row r="127" spans="4:5" x14ac:dyDescent="0.2">
      <c r="D127">
        <v>10128600</v>
      </c>
      <c r="E127" t="s">
        <v>76</v>
      </c>
    </row>
    <row r="128" spans="4:5" x14ac:dyDescent="0.2">
      <c r="D128">
        <v>5210739</v>
      </c>
      <c r="E128" t="s">
        <v>66</v>
      </c>
    </row>
    <row r="129" spans="4:5" x14ac:dyDescent="0.2">
      <c r="D129">
        <v>10128582</v>
      </c>
      <c r="E129" t="s">
        <v>80</v>
      </c>
    </row>
    <row r="130" spans="4:5" x14ac:dyDescent="0.2">
      <c r="D130">
        <v>10128600</v>
      </c>
      <c r="E130" t="s">
        <v>76</v>
      </c>
    </row>
    <row r="131" spans="4:5" x14ac:dyDescent="0.2">
      <c r="D131">
        <v>5210757</v>
      </c>
      <c r="E131" t="s">
        <v>66</v>
      </c>
    </row>
    <row r="132" spans="4:5" x14ac:dyDescent="0.2">
      <c r="D132">
        <v>10128582</v>
      </c>
      <c r="E132" t="s">
        <v>80</v>
      </c>
    </row>
    <row r="133" spans="4:5" x14ac:dyDescent="0.2">
      <c r="D133">
        <v>10128600</v>
      </c>
      <c r="E133" t="s">
        <v>76</v>
      </c>
    </row>
    <row r="134" spans="4:5" x14ac:dyDescent="0.2">
      <c r="D134">
        <v>5210762</v>
      </c>
      <c r="E134" t="s">
        <v>66</v>
      </c>
    </row>
    <row r="135" spans="4:5" x14ac:dyDescent="0.2">
      <c r="D135">
        <v>10128582</v>
      </c>
      <c r="E135" t="s">
        <v>80</v>
      </c>
    </row>
    <row r="136" spans="4:5" x14ac:dyDescent="0.2">
      <c r="D136">
        <v>10128600</v>
      </c>
      <c r="E136" t="s">
        <v>76</v>
      </c>
    </row>
    <row r="137" spans="4:5" x14ac:dyDescent="0.2">
      <c r="D137">
        <v>5210779</v>
      </c>
      <c r="E137" t="s">
        <v>66</v>
      </c>
    </row>
    <row r="138" spans="4:5" x14ac:dyDescent="0.2">
      <c r="D138">
        <v>10128582</v>
      </c>
      <c r="E138" t="s">
        <v>80</v>
      </c>
    </row>
    <row r="139" spans="4:5" x14ac:dyDescent="0.2">
      <c r="D139">
        <v>10128600</v>
      </c>
      <c r="E139" t="s">
        <v>76</v>
      </c>
    </row>
    <row r="140" spans="4:5" x14ac:dyDescent="0.2">
      <c r="D140">
        <v>5210795</v>
      </c>
      <c r="E140" t="s">
        <v>66</v>
      </c>
    </row>
    <row r="141" spans="4:5" x14ac:dyDescent="0.2">
      <c r="D141">
        <v>10128582</v>
      </c>
      <c r="E141" t="s">
        <v>80</v>
      </c>
    </row>
    <row r="142" spans="4:5" x14ac:dyDescent="0.2">
      <c r="D142">
        <v>10128600</v>
      </c>
      <c r="E142" t="s">
        <v>76</v>
      </c>
    </row>
    <row r="143" spans="4:5" x14ac:dyDescent="0.2">
      <c r="D143">
        <v>5606711</v>
      </c>
      <c r="E143" t="s">
        <v>63</v>
      </c>
    </row>
    <row r="144" spans="4:5" x14ac:dyDescent="0.2">
      <c r="D144">
        <v>10128579</v>
      </c>
      <c r="E144" t="s">
        <v>66</v>
      </c>
    </row>
    <row r="145" spans="4:5" x14ac:dyDescent="0.2">
      <c r="D145">
        <v>10128581</v>
      </c>
      <c r="E145" t="s">
        <v>76</v>
      </c>
    </row>
    <row r="146" spans="4:5" x14ac:dyDescent="0.2">
      <c r="D146">
        <v>10128595</v>
      </c>
      <c r="E146" t="s">
        <v>80</v>
      </c>
    </row>
    <row r="147" spans="4:5" x14ac:dyDescent="0.2">
      <c r="D147">
        <v>5317291</v>
      </c>
      <c r="E147" t="s">
        <v>63</v>
      </c>
    </row>
    <row r="148" spans="4:5" x14ac:dyDescent="0.2">
      <c r="D148">
        <v>10128579</v>
      </c>
      <c r="E148" t="s">
        <v>66</v>
      </c>
    </row>
    <row r="149" spans="4:5" x14ac:dyDescent="0.2">
      <c r="D149">
        <v>10128581</v>
      </c>
      <c r="E149" t="s">
        <v>76</v>
      </c>
    </row>
    <row r="150" spans="4:5" x14ac:dyDescent="0.2">
      <c r="D150">
        <v>10128595</v>
      </c>
      <c r="E150" t="s">
        <v>80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vt:i4>
      </vt:variant>
      <vt:variant>
        <vt:lpstr>Rangos con nombre</vt:lpstr>
      </vt:variant>
      <vt:variant>
        <vt:i4>60</vt:i4>
      </vt:variant>
    </vt:vector>
  </HeadingPairs>
  <TitlesOfParts>
    <vt:vector size="62" baseType="lpstr">
      <vt:lpstr>Quote</vt:lpstr>
      <vt:lpstr>MasterData</vt:lpstr>
      <vt:lpstr>Quote!Área_de_impresión</vt:lpstr>
      <vt:lpstr>BCCEmailId</vt:lpstr>
      <vt:lpstr>BuyerRemarks</vt:lpstr>
      <vt:lpstr>CompanyAddress</vt:lpstr>
      <vt:lpstr>CompanyName</vt:lpstr>
      <vt:lpstr>Currency</vt:lpstr>
      <vt:lpstr>Days</vt:lpstr>
      <vt:lpstr>deliveryterm</vt:lpstr>
      <vt:lpstr>Discount_All</vt:lpstr>
      <vt:lpstr>Enquiry_ID</vt:lpstr>
      <vt:lpstr>Enquiry_To_Vendor_ID</vt:lpstr>
      <vt:lpstr>ErrorMessage</vt:lpstr>
      <vt:lpstr>GenPro</vt:lpstr>
      <vt:lpstr>Quote!GP</vt:lpstr>
      <vt:lpstr>GP</vt:lpstr>
      <vt:lpstr>GrandTotal</vt:lpstr>
      <vt:lpstr>HeaderID</vt:lpstr>
      <vt:lpstr>ItemID</vt:lpstr>
      <vt:lpstr>ItemListEndRow</vt:lpstr>
      <vt:lpstr>ItemListStartupRow</vt:lpstr>
      <vt:lpstr>ItemSubTotal</vt:lpstr>
      <vt:lpstr>ItemSubTotalTitle</vt:lpstr>
      <vt:lpstr>LoggedInEmailID</vt:lpstr>
      <vt:lpstr>LoggedInPwd</vt:lpstr>
      <vt:lpstr>OtherChargesLastRow</vt:lpstr>
      <vt:lpstr>OtherChargesStartRow</vt:lpstr>
      <vt:lpstr>PackingInstruction</vt:lpstr>
      <vt:lpstr>Payment_Terms</vt:lpstr>
      <vt:lpstr>place</vt:lpstr>
      <vt:lpstr>PortOfDelivery</vt:lpstr>
      <vt:lpstr>QuoteBefore</vt:lpstr>
      <vt:lpstr>QuoteID</vt:lpstr>
      <vt:lpstr>QuoteSubject</vt:lpstr>
      <vt:lpstr>ReqNumber</vt:lpstr>
      <vt:lpstr>RequestForQuoteID</vt:lpstr>
      <vt:lpstr>RFQ_ID</vt:lpstr>
      <vt:lpstr>RFQCategory</vt:lpstr>
      <vt:lpstr>RFQDate</vt:lpstr>
      <vt:lpstr>RFQFileType</vt:lpstr>
      <vt:lpstr>RFQNumber</vt:lpstr>
      <vt:lpstr>SentDate</vt:lpstr>
      <vt:lpstr>SentIndex</vt:lpstr>
      <vt:lpstr>SubItemTotal</vt:lpstr>
      <vt:lpstr>Quote!THREEQ</vt:lpstr>
      <vt:lpstr>THREEQ</vt:lpstr>
      <vt:lpstr>ToEmailID</vt:lpstr>
      <vt:lpstr>ToEmailPwd</vt:lpstr>
      <vt:lpstr>VAT_All</vt:lpstr>
      <vt:lpstr>Vendor_ID</vt:lpstr>
      <vt:lpstr>VendorAddress</vt:lpstr>
      <vt:lpstr>VendorAddressCity</vt:lpstr>
      <vt:lpstr>VendorAddressEmail</vt:lpstr>
      <vt:lpstr>VendorAddressPhone</vt:lpstr>
      <vt:lpstr>VendorEmailID</vt:lpstr>
      <vt:lpstr>VendorID</vt:lpstr>
      <vt:lpstr>VendorName</vt:lpstr>
      <vt:lpstr>VendorReference</vt:lpstr>
      <vt:lpstr>VendorRemarks</vt:lpstr>
      <vt:lpstr>VesselETA</vt:lpstr>
      <vt:lpstr>VesselName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PAL2G</dc:creator>
  <cp:lastModifiedBy>Alberto Carlos Michell San Martin Concha</cp:lastModifiedBy>
  <cp:lastPrinted>2014-10-25T06:19:58Z</cp:lastPrinted>
  <dcterms:created xsi:type="dcterms:W3CDTF">2014-10-25T04:06:27Z</dcterms:created>
  <dcterms:modified xsi:type="dcterms:W3CDTF">2026-02-10T20:23:44Z</dcterms:modified>
</cp:coreProperties>
</file>